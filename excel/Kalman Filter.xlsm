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60" windowWidth="28035" windowHeight="12555"/>
  </bookViews>
  <sheets>
    <sheet name="Kalman Filter" sheetId="1" r:id="rId1"/>
    <sheet name="Sheet2" sheetId="2" r:id="rId2"/>
  </sheets>
  <definedNames>
    <definedName name="dt">'Kalman Filter'!$C$2</definedName>
  </definedNames>
  <calcPr calcId="145621"/>
</workbook>
</file>

<file path=xl/calcChain.xml><?xml version="1.0" encoding="utf-8"?>
<calcChain xmlns="http://schemas.openxmlformats.org/spreadsheetml/2006/main">
  <c r="I17" i="1" l="1"/>
  <c r="Z6" i="1"/>
  <c r="AA6" i="1"/>
  <c r="Y7" i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F17" i="1"/>
  <c r="F16" i="1"/>
  <c r="D16" i="1"/>
  <c r="Z7" i="1" l="1" a="1"/>
  <c r="AA7" i="1" s="1"/>
  <c r="M16" i="1" a="1"/>
  <c r="N16" i="1" s="1"/>
  <c r="K16" i="1" a="1"/>
  <c r="Z7" i="1" l="1"/>
  <c r="Z8" i="1" s="1" a="1"/>
  <c r="M16" i="1"/>
  <c r="M17" i="1"/>
  <c r="N17" i="1"/>
  <c r="K17" i="1"/>
  <c r="K16" i="1"/>
  <c r="AB7" i="1" l="1" a="1"/>
  <c r="AB7" i="1" s="1"/>
  <c r="AA8" i="1"/>
  <c r="Z8" i="1"/>
  <c r="H24" i="1"/>
  <c r="J24" i="1" a="1"/>
  <c r="AJ7" i="1" l="1"/>
  <c r="AK8" i="1"/>
  <c r="Z9" i="1" a="1"/>
  <c r="AB8" i="1" a="1"/>
  <c r="AB8" i="1" s="1"/>
  <c r="J24" i="1"/>
  <c r="J25" i="1"/>
  <c r="AJ8" i="1" l="1"/>
  <c r="AK9" i="1"/>
  <c r="Z9" i="1"/>
  <c r="AA9" i="1"/>
  <c r="C32" i="1" a="1"/>
  <c r="E32" i="1" a="1"/>
  <c r="AB9" i="1" l="1" a="1"/>
  <c r="AB9" i="1" s="1"/>
  <c r="Z10" i="1" a="1"/>
  <c r="E33" i="1"/>
  <c r="E32" i="1"/>
  <c r="F33" i="1"/>
  <c r="F32" i="1"/>
  <c r="C32" i="1"/>
  <c r="C33" i="1"/>
  <c r="AJ9" i="1" l="1"/>
  <c r="AK10" i="1"/>
  <c r="Z10" i="1"/>
  <c r="AA10" i="1"/>
  <c r="Z11" i="1" l="1" a="1"/>
  <c r="AB10" i="1" a="1"/>
  <c r="AB10" i="1" s="1"/>
  <c r="AJ10" i="1" l="1"/>
  <c r="AK11" i="1"/>
  <c r="AA11" i="1"/>
  <c r="Z11" i="1"/>
  <c r="AB11" i="1" l="1" a="1"/>
  <c r="AB11" i="1" s="1"/>
  <c r="Z12" i="1" a="1"/>
  <c r="AJ11" i="1" l="1"/>
  <c r="AK12" i="1"/>
  <c r="Z12" i="1"/>
  <c r="AA12" i="1"/>
  <c r="Z13" i="1" l="1" a="1"/>
  <c r="AB12" i="1" a="1"/>
  <c r="AB12" i="1" s="1"/>
  <c r="AJ12" i="1" l="1"/>
  <c r="AK13" i="1"/>
  <c r="AA13" i="1"/>
  <c r="Z13" i="1"/>
  <c r="AB13" i="1" l="1" a="1"/>
  <c r="AB13" i="1" s="1"/>
  <c r="Z14" i="1" a="1"/>
  <c r="AJ13" i="1" l="1"/>
  <c r="AK14" i="1"/>
  <c r="AA14" i="1"/>
  <c r="Z14" i="1"/>
  <c r="Z15" i="1" l="1" a="1"/>
  <c r="AB14" i="1" a="1"/>
  <c r="AB14" i="1" s="1"/>
  <c r="AJ14" i="1" l="1"/>
  <c r="AK15" i="1"/>
  <c r="Z15" i="1"/>
  <c r="AA15" i="1"/>
  <c r="AB15" i="1" l="1" a="1"/>
  <c r="AB15" i="1" s="1"/>
  <c r="Z16" i="1" a="1"/>
  <c r="AJ15" i="1" l="1"/>
  <c r="AK16" i="1"/>
  <c r="AA16" i="1"/>
  <c r="Z16" i="1"/>
  <c r="AB16" i="1" l="1" a="1"/>
  <c r="AB16" i="1" s="1"/>
  <c r="Z17" i="1" a="1"/>
  <c r="AJ16" i="1" l="1"/>
  <c r="AK17" i="1"/>
  <c r="Z17" i="1"/>
  <c r="AA17" i="1"/>
  <c r="AB17" i="1" l="1" a="1"/>
  <c r="AB17" i="1" s="1"/>
  <c r="Z18" i="1" a="1"/>
  <c r="AJ17" i="1" l="1"/>
  <c r="AK18" i="1"/>
  <c r="Z18" i="1"/>
  <c r="AA18" i="1"/>
  <c r="Z19" i="1" l="1" a="1"/>
  <c r="AB18" i="1" a="1"/>
  <c r="AB18" i="1" s="1"/>
  <c r="AJ18" i="1" l="1"/>
  <c r="AK19" i="1"/>
  <c r="Z19" i="1"/>
  <c r="AA19" i="1"/>
  <c r="AB19" i="1" l="1" a="1"/>
  <c r="AB19" i="1" s="1"/>
  <c r="Z20" i="1" a="1"/>
  <c r="AJ19" i="1" l="1"/>
  <c r="AK20" i="1"/>
  <c r="AA20" i="1"/>
  <c r="Z20" i="1"/>
  <c r="AB20" i="1" l="1" a="1"/>
  <c r="AB20" i="1" s="1"/>
  <c r="Z21" i="1" a="1"/>
  <c r="AJ20" i="1" l="1"/>
  <c r="AK21" i="1"/>
  <c r="AA21" i="1"/>
  <c r="Z21" i="1"/>
  <c r="AB21" i="1" l="1" a="1"/>
  <c r="AB21" i="1" s="1"/>
  <c r="Z22" i="1" a="1"/>
  <c r="AJ21" i="1" l="1"/>
  <c r="AK22" i="1"/>
  <c r="AA22" i="1"/>
  <c r="Z22" i="1"/>
  <c r="Z23" i="1" l="1" a="1"/>
  <c r="AB22" i="1" a="1"/>
  <c r="AB22" i="1" s="1"/>
  <c r="AJ22" i="1" l="1"/>
  <c r="AK23" i="1"/>
  <c r="Z23" i="1"/>
  <c r="AA23" i="1"/>
  <c r="Z24" i="1" l="1" a="1"/>
  <c r="AB23" i="1" a="1"/>
  <c r="AB23" i="1" s="1"/>
  <c r="AJ23" i="1" l="1"/>
  <c r="AK24" i="1"/>
  <c r="AA24" i="1"/>
  <c r="Z24" i="1"/>
  <c r="AB24" i="1" l="1" a="1"/>
  <c r="AB24" i="1" s="1"/>
  <c r="Z25" i="1" a="1"/>
  <c r="AJ24" i="1" l="1"/>
  <c r="AK25" i="1"/>
  <c r="AA25" i="1"/>
  <c r="Z25" i="1"/>
  <c r="AB25" i="1" l="1" a="1"/>
  <c r="AB25" i="1" s="1"/>
  <c r="Z26" i="1" a="1"/>
  <c r="AJ25" i="1" l="1"/>
  <c r="AK26" i="1"/>
  <c r="AA26" i="1"/>
  <c r="Z26" i="1"/>
  <c r="Z27" i="1" l="1" a="1"/>
  <c r="AB26" i="1" a="1"/>
  <c r="AB26" i="1" s="1"/>
  <c r="AJ26" i="1" l="1"/>
  <c r="AK27" i="1"/>
  <c r="Z27" i="1"/>
  <c r="AA27" i="1"/>
  <c r="Z28" i="1" l="1" a="1"/>
  <c r="AB27" i="1" a="1"/>
  <c r="AB27" i="1" s="1"/>
  <c r="AJ27" i="1" l="1"/>
  <c r="AK28" i="1"/>
  <c r="AA28" i="1"/>
  <c r="Z28" i="1"/>
  <c r="Z29" i="1" l="1" a="1"/>
  <c r="AB28" i="1" a="1"/>
  <c r="AB28" i="1" s="1"/>
  <c r="AJ28" i="1" l="1"/>
  <c r="AK29" i="1"/>
  <c r="AA29" i="1"/>
  <c r="Z29" i="1"/>
  <c r="Z30" i="1" l="1" a="1"/>
  <c r="AB29" i="1" a="1"/>
  <c r="AB29" i="1" s="1"/>
  <c r="AJ29" i="1" l="1"/>
  <c r="AK30" i="1"/>
  <c r="AA30" i="1"/>
  <c r="Z30" i="1"/>
  <c r="Z31" i="1" l="1" a="1"/>
  <c r="AB30" i="1" a="1"/>
  <c r="AB30" i="1" s="1"/>
  <c r="AJ30" i="1" l="1"/>
  <c r="AK31" i="1"/>
  <c r="Z31" i="1"/>
  <c r="AA31" i="1"/>
  <c r="Z32" i="1" l="1" a="1"/>
  <c r="AB31" i="1" a="1"/>
  <c r="AB31" i="1" s="1"/>
  <c r="AJ31" i="1" l="1"/>
  <c r="AK32" i="1"/>
  <c r="AA32" i="1"/>
  <c r="Z32" i="1"/>
  <c r="AB32" i="1" l="1" a="1"/>
  <c r="AB32" i="1" s="1"/>
  <c r="Z33" i="1" a="1"/>
  <c r="AJ32" i="1" l="1"/>
  <c r="AK33" i="1"/>
  <c r="Z33" i="1"/>
  <c r="AA33" i="1"/>
  <c r="AB33" i="1" l="1" a="1"/>
  <c r="AB33" i="1" s="1"/>
  <c r="Z34" i="1" a="1"/>
  <c r="AJ33" i="1" l="1"/>
  <c r="AK34" i="1"/>
  <c r="Z34" i="1"/>
  <c r="AA34" i="1"/>
  <c r="Z35" i="1" l="1" a="1"/>
  <c r="AB34" i="1" a="1"/>
  <c r="AB34" i="1" s="1"/>
  <c r="AJ34" i="1" l="1"/>
  <c r="AK35" i="1"/>
  <c r="AA35" i="1"/>
  <c r="Z35" i="1"/>
  <c r="AB35" i="1" l="1" a="1"/>
  <c r="AB35" i="1" s="1"/>
  <c r="Z36" i="1" a="1"/>
  <c r="AJ35" i="1" l="1"/>
  <c r="AK36" i="1"/>
  <c r="AA36" i="1"/>
  <c r="Z36" i="1"/>
  <c r="AB36" i="1" l="1" a="1"/>
  <c r="AB36" i="1" s="1"/>
  <c r="Z37" i="1" a="1"/>
  <c r="AJ36" i="1" l="1"/>
  <c r="AK37" i="1"/>
  <c r="Z37" i="1"/>
  <c r="AA37" i="1"/>
  <c r="AB37" i="1" l="1" a="1"/>
  <c r="AB37" i="1" s="1"/>
  <c r="Z38" i="1" a="1"/>
  <c r="AJ37" i="1" l="1"/>
  <c r="AK38" i="1"/>
  <c r="AA38" i="1"/>
  <c r="Z38" i="1"/>
  <c r="Z39" i="1" l="1" a="1"/>
  <c r="AB38" i="1" a="1"/>
  <c r="AB38" i="1" s="1"/>
  <c r="AJ38" i="1" l="1"/>
  <c r="AK39" i="1"/>
  <c r="Z39" i="1"/>
  <c r="AA39" i="1"/>
  <c r="AB39" i="1" l="1" a="1"/>
  <c r="AB39" i="1" s="1"/>
  <c r="Z40" i="1" a="1"/>
  <c r="AJ39" i="1" l="1"/>
  <c r="AK40" i="1"/>
  <c r="AA40" i="1"/>
  <c r="Z40" i="1"/>
  <c r="AB40" i="1" l="1" a="1"/>
  <c r="AB40" i="1" s="1"/>
  <c r="Z41" i="1" a="1"/>
  <c r="AJ40" i="1" l="1"/>
  <c r="AK41" i="1"/>
  <c r="AA41" i="1"/>
  <c r="Z41" i="1"/>
  <c r="AB41" i="1" l="1" a="1"/>
  <c r="AB41" i="1" s="1"/>
  <c r="Z42" i="1" a="1"/>
  <c r="AJ41" i="1" l="1"/>
  <c r="AK42" i="1"/>
  <c r="AA42" i="1"/>
  <c r="Z42" i="1"/>
  <c r="Z43" i="1" l="1" a="1"/>
  <c r="AB42" i="1" a="1"/>
  <c r="AB42" i="1" s="1"/>
  <c r="AJ42" i="1" l="1"/>
  <c r="AK43" i="1"/>
  <c r="AA43" i="1"/>
  <c r="Z43" i="1"/>
  <c r="AB43" i="1" l="1" a="1"/>
  <c r="AB43" i="1" s="1"/>
  <c r="Z44" i="1" a="1"/>
  <c r="AJ43" i="1" l="1"/>
  <c r="AK44" i="1"/>
  <c r="AA44" i="1"/>
  <c r="Z44" i="1"/>
  <c r="AB44" i="1" l="1" a="1"/>
  <c r="AB44" i="1" s="1"/>
  <c r="Z45" i="1" a="1"/>
  <c r="AJ44" i="1" l="1"/>
  <c r="AK45" i="1"/>
  <c r="AA45" i="1"/>
  <c r="Z45" i="1"/>
  <c r="Z46" i="1" l="1" a="1"/>
  <c r="AB45" i="1" a="1"/>
  <c r="AB45" i="1" s="1"/>
  <c r="AJ45" i="1" l="1"/>
  <c r="AK46" i="1"/>
  <c r="AA46" i="1"/>
  <c r="Z46" i="1"/>
  <c r="Z47" i="1" l="1" a="1"/>
  <c r="AB46" i="1" a="1"/>
  <c r="AB46" i="1" s="1"/>
  <c r="AJ46" i="1" l="1"/>
  <c r="AK47" i="1"/>
  <c r="Z47" i="1"/>
  <c r="AA47" i="1"/>
  <c r="AB47" i="1" l="1" a="1"/>
  <c r="AB47" i="1" s="1"/>
  <c r="Z48" i="1" a="1"/>
  <c r="AJ47" i="1" l="1"/>
  <c r="AK48" i="1"/>
  <c r="AA48" i="1"/>
  <c r="Z48" i="1"/>
  <c r="AB48" i="1" l="1" a="1"/>
  <c r="AB48" i="1" s="1"/>
  <c r="Z49" i="1" a="1"/>
  <c r="AJ48" i="1" l="1"/>
  <c r="AK49" i="1"/>
  <c r="Z49" i="1"/>
  <c r="AA49" i="1"/>
  <c r="AB49" i="1" l="1" a="1"/>
  <c r="AB49" i="1" s="1"/>
  <c r="Z50" i="1" a="1"/>
  <c r="AJ49" i="1" l="1"/>
  <c r="AK50" i="1"/>
  <c r="AA50" i="1"/>
  <c r="Z50" i="1"/>
  <c r="Z51" i="1" l="1" a="1"/>
  <c r="AB50" i="1" a="1"/>
  <c r="AB50" i="1" s="1"/>
  <c r="AJ50" i="1" l="1"/>
  <c r="AK51" i="1"/>
  <c r="Z51" i="1"/>
  <c r="AA51" i="1"/>
  <c r="Z52" i="1" l="1" a="1"/>
  <c r="AB51" i="1" a="1"/>
  <c r="AB51" i="1" s="1"/>
  <c r="AJ51" i="1" l="1"/>
  <c r="AK52" i="1"/>
  <c r="AA52" i="1"/>
  <c r="Z52" i="1"/>
  <c r="AB52" i="1" l="1" a="1"/>
  <c r="AB52" i="1" s="1"/>
  <c r="Z53" i="1" a="1"/>
  <c r="AJ52" i="1" l="1"/>
  <c r="AK53" i="1"/>
  <c r="AA53" i="1"/>
  <c r="Z53" i="1"/>
  <c r="AB53" i="1" l="1" a="1"/>
  <c r="AB53" i="1" s="1"/>
  <c r="Z54" i="1" a="1"/>
  <c r="AJ53" i="1" l="1"/>
  <c r="AK54" i="1"/>
  <c r="Z54" i="1"/>
  <c r="AA54" i="1"/>
  <c r="AB54" i="1" l="1" a="1"/>
  <c r="AB54" i="1" s="1"/>
  <c r="Z55" i="1" a="1"/>
  <c r="AJ54" i="1" l="1"/>
  <c r="AK55" i="1"/>
  <c r="Z55" i="1"/>
  <c r="AA55" i="1"/>
  <c r="Z56" i="1" l="1" a="1"/>
  <c r="AB55" i="1" a="1"/>
  <c r="AB55" i="1" s="1"/>
  <c r="AJ55" i="1" l="1"/>
  <c r="AK56" i="1"/>
  <c r="AA56" i="1"/>
  <c r="Z56" i="1"/>
  <c r="AB56" i="1" l="1" a="1"/>
  <c r="AB56" i="1" s="1"/>
  <c r="Z57" i="1" a="1"/>
  <c r="AJ56" i="1" l="1"/>
  <c r="AK57" i="1"/>
  <c r="AA57" i="1"/>
  <c r="Z57" i="1"/>
  <c r="AB57" i="1" l="1" a="1"/>
  <c r="AB57" i="1" s="1"/>
  <c r="Z58" i="1" a="1"/>
  <c r="AJ57" i="1" l="1"/>
  <c r="AK58" i="1"/>
  <c r="AA58" i="1"/>
  <c r="Z58" i="1"/>
  <c r="Z59" i="1" l="1" a="1"/>
  <c r="AB58" i="1" a="1"/>
  <c r="AB58" i="1" s="1"/>
  <c r="AJ58" i="1" l="1"/>
  <c r="AK59" i="1"/>
  <c r="Z59" i="1"/>
  <c r="AA59" i="1"/>
  <c r="Z60" i="1" l="1" a="1"/>
  <c r="AB59" i="1" a="1"/>
  <c r="AB59" i="1" s="1"/>
  <c r="AJ59" i="1" l="1"/>
  <c r="AK60" i="1"/>
  <c r="AA60" i="1"/>
  <c r="Z60" i="1"/>
  <c r="Z61" i="1" l="1" a="1"/>
  <c r="AB60" i="1" a="1"/>
  <c r="AB60" i="1" s="1"/>
  <c r="AJ60" i="1" l="1"/>
  <c r="AK61" i="1"/>
  <c r="AA61" i="1"/>
  <c r="Z61" i="1"/>
  <c r="Z62" i="1" l="1" a="1"/>
  <c r="AB61" i="1" a="1"/>
  <c r="AB61" i="1" s="1"/>
  <c r="AJ61" i="1" l="1"/>
  <c r="AK62" i="1"/>
  <c r="AA62" i="1"/>
  <c r="Z62" i="1"/>
  <c r="Z63" i="1" l="1" a="1"/>
  <c r="AB62" i="1" a="1"/>
  <c r="AB62" i="1" s="1"/>
  <c r="AJ62" i="1" l="1"/>
  <c r="AK63" i="1"/>
  <c r="Z63" i="1"/>
  <c r="AA63" i="1"/>
  <c r="AB63" i="1" l="1" a="1"/>
  <c r="AB63" i="1" s="1"/>
  <c r="Z64" i="1" a="1"/>
  <c r="AJ63" i="1" l="1"/>
  <c r="AK64" i="1"/>
  <c r="AA64" i="1"/>
  <c r="Z64" i="1"/>
  <c r="AB64" i="1" l="1" a="1"/>
  <c r="AB64" i="1" s="1"/>
  <c r="Z65" i="1" a="1"/>
  <c r="AJ64" i="1" l="1"/>
  <c r="AK65" i="1"/>
  <c r="Z65" i="1"/>
  <c r="AA65" i="1"/>
  <c r="AB65" i="1" l="1" a="1"/>
  <c r="AB65" i="1" s="1"/>
  <c r="Z66" i="1" a="1"/>
  <c r="AJ65" i="1" l="1"/>
  <c r="AK66" i="1"/>
  <c r="AA66" i="1"/>
  <c r="Z66" i="1"/>
  <c r="AB66" i="1" l="1" a="1"/>
  <c r="AB66" i="1" s="1"/>
  <c r="AJ66" i="1" l="1"/>
</calcChain>
</file>

<file path=xl/sharedStrings.xml><?xml version="1.0" encoding="utf-8"?>
<sst xmlns="http://schemas.openxmlformats.org/spreadsheetml/2006/main" count="35" uniqueCount="32">
  <si>
    <t>dt</t>
    <phoneticPr fontId="1" type="noConversion"/>
  </si>
  <si>
    <r>
      <t>F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</si>
  <si>
    <r>
      <t>B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</si>
  <si>
    <r>
      <t>Q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</si>
  <si>
    <t>1. Input</t>
    <phoneticPr fontId="1" type="noConversion"/>
  </si>
  <si>
    <r>
      <t>x</t>
    </r>
    <r>
      <rPr>
        <b/>
        <vertAlign val="subscript"/>
        <sz val="11"/>
        <color theme="1"/>
        <rFont val="맑은 고딕"/>
        <family val="3"/>
        <charset val="129"/>
        <scheme val="minor"/>
      </rPr>
      <t>t|t-1</t>
    </r>
    <phoneticPr fontId="1" type="noConversion"/>
  </si>
  <si>
    <r>
      <t>P</t>
    </r>
    <r>
      <rPr>
        <b/>
        <vertAlign val="subscript"/>
        <sz val="11"/>
        <color theme="1"/>
        <rFont val="맑은 고딕"/>
        <family val="3"/>
        <charset val="129"/>
        <scheme val="minor"/>
      </rPr>
      <t>t|t-1</t>
    </r>
    <phoneticPr fontId="1" type="noConversion"/>
  </si>
  <si>
    <r>
      <t>x</t>
    </r>
    <r>
      <rPr>
        <b/>
        <vertAlign val="subscript"/>
        <sz val="11"/>
        <color theme="1"/>
        <rFont val="맑은 고딕"/>
        <family val="3"/>
        <charset val="129"/>
        <scheme val="minor"/>
      </rPr>
      <t>t|t</t>
    </r>
    <phoneticPr fontId="1" type="noConversion"/>
  </si>
  <si>
    <r>
      <t>P</t>
    </r>
    <r>
      <rPr>
        <b/>
        <vertAlign val="subscript"/>
        <sz val="11"/>
        <color theme="1"/>
        <rFont val="맑은 고딕"/>
        <family val="3"/>
        <charset val="129"/>
        <scheme val="minor"/>
      </rPr>
      <t>t|t</t>
    </r>
    <phoneticPr fontId="1" type="noConversion"/>
  </si>
  <si>
    <r>
      <t>z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</si>
  <si>
    <r>
      <t>H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</si>
  <si>
    <r>
      <t>z</t>
    </r>
    <r>
      <rPr>
        <b/>
        <vertAlign val="subscript"/>
        <sz val="11"/>
        <color theme="1"/>
        <rFont val="맑은 고딕"/>
        <family val="3"/>
        <charset val="129"/>
        <scheme val="minor"/>
      </rPr>
      <t>est,t</t>
    </r>
    <phoneticPr fontId="1" type="noConversion"/>
  </si>
  <si>
    <r>
      <t>K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</si>
  <si>
    <r>
      <t>R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</si>
  <si>
    <r>
      <t>x</t>
    </r>
    <r>
      <rPr>
        <b/>
        <vertAlign val="subscript"/>
        <sz val="11"/>
        <color theme="1"/>
        <rFont val="맑은 고딕"/>
        <family val="3"/>
        <charset val="129"/>
        <scheme val="minor"/>
      </rPr>
      <t>t-1|t-1</t>
    </r>
    <phoneticPr fontId="1" type="noConversion"/>
  </si>
  <si>
    <r>
      <t>P</t>
    </r>
    <r>
      <rPr>
        <b/>
        <vertAlign val="subscript"/>
        <sz val="11"/>
        <color theme="1"/>
        <rFont val="맑은 고딕"/>
        <family val="3"/>
        <charset val="129"/>
        <scheme val="minor"/>
      </rPr>
      <t>t-1|t-1</t>
    </r>
    <phoneticPr fontId="1" type="noConversion"/>
  </si>
  <si>
    <t>2. State Evolution</t>
    <phoneticPr fontId="1" type="noConversion"/>
  </si>
  <si>
    <t>3. Measurement</t>
    <phoneticPr fontId="1" type="noConversion"/>
  </si>
  <si>
    <t>4. Update</t>
    <phoneticPr fontId="1" type="noConversion"/>
  </si>
  <si>
    <r>
      <t>z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</si>
  <si>
    <t>t</t>
    <phoneticPr fontId="1" type="noConversion"/>
  </si>
  <si>
    <r>
      <t>x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(1)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</si>
  <si>
    <r>
      <t>x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(2)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</si>
  <si>
    <t>1. Actual</t>
    <phoneticPr fontId="1" type="noConversion"/>
  </si>
  <si>
    <t>2. Prediction</t>
    <phoneticPr fontId="1" type="noConversion"/>
  </si>
  <si>
    <r>
      <t>P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(1,1)</t>
    </r>
    <r>
      <rPr>
        <b/>
        <vertAlign val="subscript"/>
        <sz val="11"/>
        <color theme="1"/>
        <rFont val="맑은 고딕"/>
        <family val="3"/>
        <charset val="129"/>
        <scheme val="minor"/>
      </rPr>
      <t>t-1|t-1</t>
    </r>
    <phoneticPr fontId="1" type="noConversion"/>
  </si>
  <si>
    <r>
      <t>P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(1,2)</t>
    </r>
    <r>
      <rPr>
        <b/>
        <vertAlign val="subscript"/>
        <sz val="11"/>
        <color theme="1"/>
        <rFont val="맑은 고딕"/>
        <family val="3"/>
        <charset val="129"/>
        <scheme val="minor"/>
      </rPr>
      <t>t-1|t-1</t>
    </r>
    <phoneticPr fontId="1" type="noConversion"/>
  </si>
  <si>
    <r>
      <t>P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(2,1)</t>
    </r>
    <r>
      <rPr>
        <b/>
        <vertAlign val="subscript"/>
        <sz val="11"/>
        <color theme="1"/>
        <rFont val="맑은 고딕"/>
        <family val="3"/>
        <charset val="129"/>
        <scheme val="minor"/>
      </rPr>
      <t>t-1|t-1</t>
    </r>
    <phoneticPr fontId="1" type="noConversion"/>
  </si>
  <si>
    <r>
      <t>P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(2,2)</t>
    </r>
    <r>
      <rPr>
        <b/>
        <vertAlign val="subscript"/>
        <sz val="11"/>
        <color theme="1"/>
        <rFont val="맑은 고딕"/>
        <family val="3"/>
        <charset val="129"/>
        <scheme val="minor"/>
      </rPr>
      <t>t-1|t-1</t>
    </r>
    <phoneticPr fontId="1" type="noConversion"/>
  </si>
  <si>
    <r>
      <t>x</t>
    </r>
    <r>
      <rPr>
        <b/>
        <vertAlign val="subscript"/>
        <sz val="11"/>
        <color theme="1"/>
        <rFont val="맑은 고딕"/>
        <family val="3"/>
        <charset val="129"/>
        <scheme val="minor"/>
      </rPr>
      <t>0</t>
    </r>
    <phoneticPr fontId="1" type="noConversion"/>
  </si>
  <si>
    <r>
      <t>P</t>
    </r>
    <r>
      <rPr>
        <b/>
        <vertAlign val="subscript"/>
        <sz val="11"/>
        <color theme="1"/>
        <rFont val="맑은 고딕"/>
        <family val="3"/>
        <charset val="129"/>
        <scheme val="minor"/>
      </rPr>
      <t>0</t>
    </r>
    <phoneticPr fontId="1" type="noConversion"/>
  </si>
  <si>
    <r>
      <t>ε</t>
    </r>
    <r>
      <rPr>
        <b/>
        <vertAlign val="subscript"/>
        <sz val="11"/>
        <color theme="1"/>
        <rFont val="맑은 고딕"/>
        <family val="3"/>
        <charset val="129"/>
        <scheme val="minor"/>
      </rPr>
      <t>t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</si>
</sst>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#,##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vertAlign val="subscript"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  <font>
      <b/>
      <vertAlign val="superscript"/>
      <sz val="11"/>
      <color theme="1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 style="dashed">
        <color rgb="FFC00000"/>
      </diagonal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2" fillId="0" borderId="0" xfId="0" applyFont="1">
      <alignment vertical="center"/>
    </xf>
    <xf numFmtId="0" fontId="0" fillId="0" borderId="9" xfId="0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9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19" xfId="0" applyBorder="1">
      <alignment vertical="center"/>
    </xf>
    <xf numFmtId="0" fontId="0" fillId="0" borderId="10" xfId="0" applyBorder="1">
      <alignment vertical="center"/>
    </xf>
    <xf numFmtId="0" fontId="2" fillId="4" borderId="20" xfId="0" applyFont="1" applyFill="1" applyBorder="1">
      <alignment vertical="center"/>
    </xf>
    <xf numFmtId="0" fontId="4" fillId="0" borderId="0" xfId="0" applyFont="1">
      <alignment vertical="center"/>
    </xf>
    <xf numFmtId="0" fontId="2" fillId="4" borderId="16" xfId="0" applyFont="1" applyFill="1" applyBorder="1" applyAlignment="1">
      <alignment horizontal="left" vertical="center"/>
    </xf>
    <xf numFmtId="0" fontId="2" fillId="4" borderId="17" xfId="0" applyFont="1" applyFill="1" applyBorder="1" applyAlignment="1">
      <alignment horizontal="left" vertical="center"/>
    </xf>
    <xf numFmtId="0" fontId="2" fillId="4" borderId="18" xfId="0" applyFont="1" applyFill="1" applyBorder="1" applyAlignment="1">
      <alignment horizontal="left"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2" fillId="4" borderId="21" xfId="0" applyFont="1" applyFill="1" applyBorder="1">
      <alignment vertical="center"/>
    </xf>
    <xf numFmtId="0" fontId="2" fillId="4" borderId="22" xfId="0" applyFont="1" applyFill="1" applyBorder="1">
      <alignment vertical="center"/>
    </xf>
    <xf numFmtId="0" fontId="0" fillId="0" borderId="25" xfId="0" applyBorder="1">
      <alignment vertical="center"/>
    </xf>
    <xf numFmtId="0" fontId="0" fillId="6" borderId="27" xfId="0" applyFill="1" applyBorder="1">
      <alignment vertical="center"/>
    </xf>
    <xf numFmtId="0" fontId="0" fillId="0" borderId="26" xfId="0" applyBorder="1">
      <alignment vertical="center"/>
    </xf>
    <xf numFmtId="0" fontId="6" fillId="0" borderId="1" xfId="0" applyFont="1" applyBorder="1">
      <alignment vertical="center"/>
    </xf>
    <xf numFmtId="0" fontId="2" fillId="4" borderId="28" xfId="0" applyFont="1" applyFill="1" applyBorder="1">
      <alignment vertical="center"/>
    </xf>
    <xf numFmtId="0" fontId="2" fillId="4" borderId="29" xfId="0" applyFont="1" applyFill="1" applyBorder="1">
      <alignment vertical="center"/>
    </xf>
    <xf numFmtId="0" fontId="6" fillId="0" borderId="25" xfId="0" applyFont="1" applyBorder="1">
      <alignment vertical="center"/>
    </xf>
    <xf numFmtId="0" fontId="0" fillId="0" borderId="30" xfId="0" applyBorder="1">
      <alignment vertical="center"/>
    </xf>
    <xf numFmtId="0" fontId="0" fillId="0" borderId="11" xfId="0" applyBorder="1">
      <alignment vertical="center"/>
    </xf>
    <xf numFmtId="4" fontId="0" fillId="0" borderId="0" xfId="0" applyNumberFormat="1">
      <alignment vertical="center"/>
    </xf>
    <xf numFmtId="0" fontId="2" fillId="4" borderId="18" xfId="0" applyFont="1" applyFill="1" applyBorder="1">
      <alignment vertical="center"/>
    </xf>
    <xf numFmtId="0" fontId="0" fillId="0" borderId="31" xfId="0" applyBorder="1">
      <alignment vertical="center"/>
    </xf>
    <xf numFmtId="4" fontId="0" fillId="0" borderId="31" xfId="0" applyNumberFormat="1" applyBorder="1">
      <alignment vertical="center"/>
    </xf>
    <xf numFmtId="177" fontId="0" fillId="0" borderId="23" xfId="0" applyNumberFormat="1" applyBorder="1">
      <alignment vertical="center"/>
    </xf>
    <xf numFmtId="177" fontId="0" fillId="0" borderId="24" xfId="0" applyNumberFormat="1" applyBorder="1">
      <alignment vertical="center"/>
    </xf>
    <xf numFmtId="4" fontId="0" fillId="0" borderId="32" xfId="0" applyNumberForma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'Kalman Filter'!$AI$5</c:f>
              <c:strCache>
                <c:ptCount val="1"/>
                <c:pt idx="0">
                  <c:v>zest,t</c:v>
                </c:pt>
              </c:strCache>
            </c:strRef>
          </c:tx>
          <c:marker>
            <c:symbol val="none"/>
          </c:marker>
          <c:val>
            <c:numRef>
              <c:f>'Kalman Filter'!$AI$6:$AI$66</c:f>
              <c:numCache>
                <c:formatCode>General</c:formatCode>
                <c:ptCount val="61"/>
                <c:pt idx="1">
                  <c:v>1</c:v>
                </c:pt>
                <c:pt idx="2">
                  <c:v>0.69388462434866671</c:v>
                </c:pt>
                <c:pt idx="3">
                  <c:v>1.2007044077274868E-2</c:v>
                </c:pt>
                <c:pt idx="4">
                  <c:v>-1.135449167121553</c:v>
                </c:pt>
                <c:pt idx="5">
                  <c:v>-1.1681535680836175E-2</c:v>
                </c:pt>
                <c:pt idx="6">
                  <c:v>-1.0958003886065661</c:v>
                </c:pt>
                <c:pt idx="7">
                  <c:v>-1.9226100901795204</c:v>
                </c:pt>
                <c:pt idx="8">
                  <c:v>-0.39375148535615412</c:v>
                </c:pt>
                <c:pt idx="9">
                  <c:v>0.11017310882896633</c:v>
                </c:pt>
                <c:pt idx="10">
                  <c:v>0.25433079566280298</c:v>
                </c:pt>
                <c:pt idx="11">
                  <c:v>0.46326960881439289</c:v>
                </c:pt>
                <c:pt idx="12">
                  <c:v>-1.7009587695046067</c:v>
                </c:pt>
                <c:pt idx="13">
                  <c:v>-4.8744977508729566</c:v>
                </c:pt>
                <c:pt idx="14">
                  <c:v>-4.1949944498061607</c:v>
                </c:pt>
                <c:pt idx="15">
                  <c:v>-3.3376600266051311</c:v>
                </c:pt>
                <c:pt idx="16">
                  <c:v>-1.9644710719448895</c:v>
                </c:pt>
                <c:pt idx="17">
                  <c:v>-2.9743811856215467</c:v>
                </c:pt>
                <c:pt idx="18">
                  <c:v>-0.82078475807416085</c:v>
                </c:pt>
                <c:pt idx="19">
                  <c:v>-0.95763713202595202</c:v>
                </c:pt>
                <c:pt idx="20">
                  <c:v>-0.55126757190821052</c:v>
                </c:pt>
                <c:pt idx="21">
                  <c:v>0.91617223002802173</c:v>
                </c:pt>
                <c:pt idx="22">
                  <c:v>0.14279440473465596</c:v>
                </c:pt>
                <c:pt idx="23">
                  <c:v>-0.1416781245265607</c:v>
                </c:pt>
                <c:pt idx="24">
                  <c:v>1.2547808109087997</c:v>
                </c:pt>
                <c:pt idx="25">
                  <c:v>-2.0730099658650358</c:v>
                </c:pt>
                <c:pt idx="26">
                  <c:v>-1.7249023627023505</c:v>
                </c:pt>
                <c:pt idx="27">
                  <c:v>-2.314623130576225</c:v>
                </c:pt>
                <c:pt idx="28">
                  <c:v>-1.9284665595667931</c:v>
                </c:pt>
                <c:pt idx="29">
                  <c:v>-0.79536238312511054</c:v>
                </c:pt>
                <c:pt idx="30">
                  <c:v>-1.8059502700375385</c:v>
                </c:pt>
                <c:pt idx="31">
                  <c:v>-2.2421115595702008</c:v>
                </c:pt>
                <c:pt idx="32">
                  <c:v>-1.7274104075742704</c:v>
                </c:pt>
                <c:pt idx="33">
                  <c:v>-2.1264962750850454</c:v>
                </c:pt>
                <c:pt idx="34">
                  <c:v>-2.7544014164328194</c:v>
                </c:pt>
                <c:pt idx="35">
                  <c:v>-2.6909706132567734</c:v>
                </c:pt>
                <c:pt idx="36">
                  <c:v>-1.4890629339144352</c:v>
                </c:pt>
                <c:pt idx="37">
                  <c:v>-0.68361137849051457</c:v>
                </c:pt>
                <c:pt idx="38">
                  <c:v>-1.118075498153509</c:v>
                </c:pt>
                <c:pt idx="39">
                  <c:v>-0.54546789735298118</c:v>
                </c:pt>
                <c:pt idx="40">
                  <c:v>2.7805996214311657</c:v>
                </c:pt>
                <c:pt idx="41">
                  <c:v>1.1880548621835325</c:v>
                </c:pt>
                <c:pt idx="42">
                  <c:v>1.8013785836562208</c:v>
                </c:pt>
                <c:pt idx="43">
                  <c:v>1.6308425132793338</c:v>
                </c:pt>
                <c:pt idx="44">
                  <c:v>1.0794147582719786</c:v>
                </c:pt>
                <c:pt idx="45">
                  <c:v>2.9021771585840552</c:v>
                </c:pt>
                <c:pt idx="46">
                  <c:v>2.476517692394073</c:v>
                </c:pt>
                <c:pt idx="47">
                  <c:v>2.2822362300826953</c:v>
                </c:pt>
                <c:pt idx="48">
                  <c:v>2.5102407483013627</c:v>
                </c:pt>
                <c:pt idx="49">
                  <c:v>3.7238279358639281</c:v>
                </c:pt>
                <c:pt idx="50">
                  <c:v>5.2444083045278669</c:v>
                </c:pt>
                <c:pt idx="51">
                  <c:v>7.2168659825365333</c:v>
                </c:pt>
                <c:pt idx="52">
                  <c:v>7.1679836693115551</c:v>
                </c:pt>
                <c:pt idx="53">
                  <c:v>6.1958146142190795</c:v>
                </c:pt>
                <c:pt idx="54">
                  <c:v>7.9438538628088162</c:v>
                </c:pt>
                <c:pt idx="55">
                  <c:v>10.505377652583187</c:v>
                </c:pt>
                <c:pt idx="56">
                  <c:v>12.041239914326669</c:v>
                </c:pt>
                <c:pt idx="57">
                  <c:v>13.250556582425705</c:v>
                </c:pt>
                <c:pt idx="58">
                  <c:v>15.07258049108124</c:v>
                </c:pt>
                <c:pt idx="59">
                  <c:v>15.006787888112477</c:v>
                </c:pt>
                <c:pt idx="60">
                  <c:v>16.140526666314994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'Kalman Filter'!$AB$5</c:f>
              <c:strCache>
                <c:ptCount val="1"/>
                <c:pt idx="0">
                  <c:v>zt</c:v>
                </c:pt>
              </c:strCache>
            </c:strRef>
          </c:tx>
          <c:marker>
            <c:symbol val="none"/>
          </c:marker>
          <c:val>
            <c:numRef>
              <c:f>'Kalman Filter'!$AB$6:$AB$66</c:f>
              <c:numCache>
                <c:formatCode>General</c:formatCode>
                <c:ptCount val="61"/>
                <c:pt idx="1">
                  <c:v>0.64621091830460664</c:v>
                </c:pt>
                <c:pt idx="2">
                  <c:v>-0.30270080568025259</c:v>
                </c:pt>
                <c:pt idx="3">
                  <c:v>-1.6577618322452921</c:v>
                </c:pt>
                <c:pt idx="4">
                  <c:v>0.637001933863653</c:v>
                </c:pt>
                <c:pt idx="5">
                  <c:v>-1.5769362336713175</c:v>
                </c:pt>
                <c:pt idx="6">
                  <c:v>-2.1803169051772162</c:v>
                </c:pt>
                <c:pt idx="7">
                  <c:v>0.46381422873363981</c:v>
                </c:pt>
                <c:pt idx="8">
                  <c:v>0.3478242984015405</c:v>
                </c:pt>
                <c:pt idx="9">
                  <c:v>0.2820678590139627</c:v>
                </c:pt>
                <c:pt idx="10">
                  <c:v>0.50540995516531506</c:v>
                </c:pt>
                <c:pt idx="11">
                  <c:v>-2.6779022137140505</c:v>
                </c:pt>
                <c:pt idx="12">
                  <c:v>-6.0273964296092917</c:v>
                </c:pt>
                <c:pt idx="13">
                  <c:v>-3.4029909612061124</c:v>
                </c:pt>
                <c:pt idx="14">
                  <c:v>-2.5895052760511463</c:v>
                </c:pt>
                <c:pt idx="15">
                  <c:v>-1.1326567954097233</c:v>
                </c:pt>
                <c:pt idx="16">
                  <c:v>-3.299854371129288</c:v>
                </c:pt>
                <c:pt idx="17">
                  <c:v>0.25839936443516109</c:v>
                </c:pt>
                <c:pt idx="18">
                  <c:v>-1.0781613629367837</c:v>
                </c:pt>
                <c:pt idx="19">
                  <c:v>-0.42907803057991489</c:v>
                </c:pt>
                <c:pt idx="20">
                  <c:v>1.4274742104786711</c:v>
                </c:pt>
                <c:pt idx="21">
                  <c:v>-0.42020950477121694</c:v>
                </c:pt>
                <c:pt idx="22">
                  <c:v>-0.39610886897586728</c:v>
                </c:pt>
                <c:pt idx="23">
                  <c:v>1.7275521459376206</c:v>
                </c:pt>
                <c:pt idx="24">
                  <c:v>-3.6720711399634167</c:v>
                </c:pt>
                <c:pt idx="25">
                  <c:v>-1.4263992006457229</c:v>
                </c:pt>
                <c:pt idx="26">
                  <c:v>-2.4497981349759845</c:v>
                </c:pt>
                <c:pt idx="27">
                  <c:v>-1.6081878882352414</c:v>
                </c:pt>
                <c:pt idx="28">
                  <c:v>-0.23069191382276888</c:v>
                </c:pt>
                <c:pt idx="29">
                  <c:v>-2.2501051663861271</c:v>
                </c:pt>
                <c:pt idx="30">
                  <c:v>-2.3333606136080678</c:v>
                </c:pt>
                <c:pt idx="31">
                  <c:v>-1.389940620939496</c:v>
                </c:pt>
                <c:pt idx="32">
                  <c:v>-2.229535505358843</c:v>
                </c:pt>
                <c:pt idx="33">
                  <c:v>-2.908577539550083</c:v>
                </c:pt>
                <c:pt idx="34">
                  <c:v>-2.5005553598772527</c:v>
                </c:pt>
                <c:pt idx="35">
                  <c:v>-0.85871858077766894</c:v>
                </c:pt>
                <c:pt idx="36">
                  <c:v>-0.36532096157374006</c:v>
                </c:pt>
                <c:pt idx="37">
                  <c:v>-1.394678905796209</c:v>
                </c:pt>
                <c:pt idx="38">
                  <c:v>-0.35558618173894863</c:v>
                </c:pt>
                <c:pt idx="39">
                  <c:v>4.0219579777208345</c:v>
                </c:pt>
                <c:pt idx="40">
                  <c:v>6.0605351227527304E-2</c:v>
                </c:pt>
                <c:pt idx="41">
                  <c:v>1.7918315316127464</c:v>
                </c:pt>
                <c:pt idx="42">
                  <c:v>1.2540664020620234</c:v>
                </c:pt>
                <c:pt idx="43">
                  <c:v>0.59375806141011012</c:v>
                </c:pt>
                <c:pt idx="44">
                  <c:v>3.4632758440931752</c:v>
                </c:pt>
                <c:pt idx="45">
                  <c:v>1.9303343295253896</c:v>
                </c:pt>
                <c:pt idx="46">
                  <c:v>1.9101163365947924</c:v>
                </c:pt>
                <c:pt idx="47">
                  <c:v>2.3559028652827685</c:v>
                </c:pt>
                <c:pt idx="48">
                  <c:v>3.9622925499283097</c:v>
                </c:pt>
                <c:pt idx="49">
                  <c:v>5.486968409466483</c:v>
                </c:pt>
                <c:pt idx="50">
                  <c:v>7.4964172855682065</c:v>
                </c:pt>
                <c:pt idx="51">
                  <c:v>6.4430892397119051</c:v>
                </c:pt>
                <c:pt idx="52">
                  <c:v>5.1612697018638567</c:v>
                </c:pt>
                <c:pt idx="53">
                  <c:v>8.1763051903733359</c:v>
                </c:pt>
                <c:pt idx="54">
                  <c:v>10.903182752053858</c:v>
                </c:pt>
                <c:pt idx="55">
                  <c:v>11.779049425696501</c:v>
                </c:pt>
                <c:pt idx="56">
                  <c:v>12.750808534691602</c:v>
                </c:pt>
                <c:pt idx="57">
                  <c:v>14.762093530389519</c:v>
                </c:pt>
                <c:pt idx="58">
                  <c:v>13.807175030800449</c:v>
                </c:pt>
                <c:pt idx="59">
                  <c:v>15.531106097793668</c:v>
                </c:pt>
                <c:pt idx="60">
                  <c:v>18.22221066563154</c:v>
                </c:pt>
              </c:numCache>
            </c:numRef>
          </c:val>
          <c:smooth val="0"/>
        </c:ser>
        <c:ser>
          <c:idx val="2"/>
          <c:order val="2"/>
          <c:tx>
            <c:v>zt-1</c:v>
          </c:tx>
          <c:marker>
            <c:symbol val="none"/>
          </c:marker>
          <c:val>
            <c:numRef>
              <c:f>'Kalman Filter'!$AK$6:$AK$66</c:f>
              <c:numCache>
                <c:formatCode>General</c:formatCode>
                <c:ptCount val="61"/>
                <c:pt idx="2">
                  <c:v>0.64621091830460664</c:v>
                </c:pt>
                <c:pt idx="3">
                  <c:v>-0.30270080568025259</c:v>
                </c:pt>
                <c:pt idx="4">
                  <c:v>-1.6577618322452921</c:v>
                </c:pt>
                <c:pt idx="5">
                  <c:v>0.637001933863653</c:v>
                </c:pt>
                <c:pt idx="6">
                  <c:v>-1.5769362336713175</c:v>
                </c:pt>
                <c:pt idx="7">
                  <c:v>-2.1803169051772162</c:v>
                </c:pt>
                <c:pt idx="8">
                  <c:v>0.46381422873363981</c:v>
                </c:pt>
                <c:pt idx="9">
                  <c:v>0.3478242984015405</c:v>
                </c:pt>
                <c:pt idx="10">
                  <c:v>0.2820678590139627</c:v>
                </c:pt>
                <c:pt idx="11">
                  <c:v>0.50540995516531506</c:v>
                </c:pt>
                <c:pt idx="12">
                  <c:v>-2.6779022137140505</c:v>
                </c:pt>
                <c:pt idx="13">
                  <c:v>-6.0273964296092917</c:v>
                </c:pt>
                <c:pt idx="14">
                  <c:v>-3.4029909612061124</c:v>
                </c:pt>
                <c:pt idx="15">
                  <c:v>-2.5895052760511463</c:v>
                </c:pt>
                <c:pt idx="16">
                  <c:v>-1.1326567954097233</c:v>
                </c:pt>
                <c:pt idx="17">
                  <c:v>-3.299854371129288</c:v>
                </c:pt>
                <c:pt idx="18">
                  <c:v>0.25839936443516109</c:v>
                </c:pt>
                <c:pt idx="19">
                  <c:v>-1.0781613629367837</c:v>
                </c:pt>
                <c:pt idx="20">
                  <c:v>-0.42907803057991489</c:v>
                </c:pt>
                <c:pt idx="21">
                  <c:v>1.4274742104786711</c:v>
                </c:pt>
                <c:pt idx="22">
                  <c:v>-0.42020950477121694</c:v>
                </c:pt>
                <c:pt idx="23">
                  <c:v>-0.39610886897586728</c:v>
                </c:pt>
                <c:pt idx="24">
                  <c:v>1.7275521459376206</c:v>
                </c:pt>
                <c:pt idx="25">
                  <c:v>-3.6720711399634167</c:v>
                </c:pt>
                <c:pt idx="26">
                  <c:v>-1.4263992006457229</c:v>
                </c:pt>
                <c:pt idx="27">
                  <c:v>-2.4497981349759845</c:v>
                </c:pt>
                <c:pt idx="28">
                  <c:v>-1.6081878882352414</c:v>
                </c:pt>
                <c:pt idx="29">
                  <c:v>-0.23069191382276888</c:v>
                </c:pt>
                <c:pt idx="30">
                  <c:v>-2.2501051663861271</c:v>
                </c:pt>
                <c:pt idx="31">
                  <c:v>-2.3333606136080678</c:v>
                </c:pt>
                <c:pt idx="32">
                  <c:v>-1.389940620939496</c:v>
                </c:pt>
                <c:pt idx="33">
                  <c:v>-2.229535505358843</c:v>
                </c:pt>
                <c:pt idx="34">
                  <c:v>-2.908577539550083</c:v>
                </c:pt>
                <c:pt idx="35">
                  <c:v>-2.5005553598772527</c:v>
                </c:pt>
                <c:pt idx="36">
                  <c:v>-0.85871858077766894</c:v>
                </c:pt>
                <c:pt idx="37">
                  <c:v>-0.36532096157374006</c:v>
                </c:pt>
                <c:pt idx="38">
                  <c:v>-1.394678905796209</c:v>
                </c:pt>
                <c:pt idx="39">
                  <c:v>-0.35558618173894863</c:v>
                </c:pt>
                <c:pt idx="40">
                  <c:v>4.0219579777208345</c:v>
                </c:pt>
                <c:pt idx="41">
                  <c:v>6.0605351227527304E-2</c:v>
                </c:pt>
                <c:pt idx="42">
                  <c:v>1.7918315316127464</c:v>
                </c:pt>
                <c:pt idx="43">
                  <c:v>1.2540664020620234</c:v>
                </c:pt>
                <c:pt idx="44">
                  <c:v>0.59375806141011012</c:v>
                </c:pt>
                <c:pt idx="45">
                  <c:v>3.4632758440931752</c:v>
                </c:pt>
                <c:pt idx="46">
                  <c:v>1.9303343295253896</c:v>
                </c:pt>
                <c:pt idx="47">
                  <c:v>1.9101163365947924</c:v>
                </c:pt>
                <c:pt idx="48">
                  <c:v>2.3559028652827685</c:v>
                </c:pt>
                <c:pt idx="49">
                  <c:v>3.9622925499283097</c:v>
                </c:pt>
                <c:pt idx="50">
                  <c:v>5.486968409466483</c:v>
                </c:pt>
                <c:pt idx="51">
                  <c:v>7.4964172855682065</c:v>
                </c:pt>
                <c:pt idx="52">
                  <c:v>6.4430892397119051</c:v>
                </c:pt>
                <c:pt idx="53">
                  <c:v>5.1612697018638567</c:v>
                </c:pt>
                <c:pt idx="54">
                  <c:v>8.1763051903733359</c:v>
                </c:pt>
                <c:pt idx="55">
                  <c:v>10.903182752053858</c:v>
                </c:pt>
                <c:pt idx="56">
                  <c:v>11.779049425696501</c:v>
                </c:pt>
                <c:pt idx="57">
                  <c:v>12.750808534691602</c:v>
                </c:pt>
                <c:pt idx="58">
                  <c:v>14.762093530389519</c:v>
                </c:pt>
                <c:pt idx="59">
                  <c:v>13.807175030800449</c:v>
                </c:pt>
                <c:pt idx="60">
                  <c:v>15.531106097793668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85568"/>
        <c:axId val="191125376"/>
      </c:lineChart>
      <c:catAx>
        <c:axId val="1906855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1125376"/>
        <c:crosses val="autoZero"/>
        <c:auto val="1"/>
        <c:lblAlgn val="ctr"/>
        <c:lblOffset val="100"/>
        <c:noMultiLvlLbl val="0"/>
      </c:catAx>
      <c:valAx>
        <c:axId val="19112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685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390525</xdr:colOff>
      <xdr:row>11</xdr:row>
      <xdr:rowOff>190499</xdr:rowOff>
    </xdr:from>
    <xdr:to>
      <xdr:col>16</xdr:col>
      <xdr:colOff>476251</xdr:colOff>
      <xdr:row>29</xdr:row>
      <xdr:rowOff>9525</xdr:rowOff>
    </xdr:to>
    <xdr:graphicFrame macro="">
      <xdr:nvGraphicFramePr>
        <xdr:cNvPr id="27" name="차트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66"/>
  <sheetViews>
    <sheetView tabSelected="1" topLeftCell="F1" zoomScaleNormal="100" workbookViewId="0">
      <selection activeCell="T23" sqref="T23"/>
    </sheetView>
  </sheetViews>
  <sheetFormatPr defaultRowHeight="16.5" x14ac:dyDescent="0.3"/>
  <sheetData>
    <row r="1" spans="1:37" ht="18.75" thickBot="1" x14ac:dyDescent="0.35">
      <c r="T1" s="7" t="s">
        <v>29</v>
      </c>
      <c r="V1" s="7" t="s">
        <v>30</v>
      </c>
    </row>
    <row r="2" spans="1:37" ht="17.25" thickBot="1" x14ac:dyDescent="0.35">
      <c r="B2" s="35" t="s">
        <v>0</v>
      </c>
      <c r="C2" s="34">
        <v>0.1</v>
      </c>
      <c r="T2" s="40">
        <v>1</v>
      </c>
      <c r="V2" s="42">
        <v>1</v>
      </c>
      <c r="W2" s="43">
        <v>0</v>
      </c>
      <c r="AJ2" s="57"/>
    </row>
    <row r="3" spans="1:37" x14ac:dyDescent="0.3">
      <c r="C3" s="10"/>
      <c r="D3" s="9"/>
      <c r="T3" s="41">
        <v>0</v>
      </c>
      <c r="V3" s="44">
        <v>0</v>
      </c>
      <c r="W3" s="45">
        <v>0.5</v>
      </c>
    </row>
    <row r="4" spans="1:37" ht="17.25" thickBot="1" x14ac:dyDescent="0.35">
      <c r="Z4" s="7" t="s">
        <v>23</v>
      </c>
      <c r="AC4" s="7" t="s">
        <v>24</v>
      </c>
    </row>
    <row r="5" spans="1:37" ht="18" x14ac:dyDescent="0.3">
      <c r="B5" s="37" t="s">
        <v>4</v>
      </c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9"/>
      <c r="Y5" s="46" t="s">
        <v>20</v>
      </c>
      <c r="Z5" s="47" t="s">
        <v>21</v>
      </c>
      <c r="AA5" s="47" t="s">
        <v>22</v>
      </c>
      <c r="AB5" s="52" t="s">
        <v>19</v>
      </c>
      <c r="AC5" s="53" t="s">
        <v>21</v>
      </c>
      <c r="AD5" s="47" t="s">
        <v>22</v>
      </c>
      <c r="AE5" s="47" t="s">
        <v>25</v>
      </c>
      <c r="AF5" s="47" t="s">
        <v>26</v>
      </c>
      <c r="AG5" s="47" t="s">
        <v>27</v>
      </c>
      <c r="AH5" s="47" t="s">
        <v>28</v>
      </c>
      <c r="AI5" s="52" t="s">
        <v>11</v>
      </c>
      <c r="AJ5" s="58" t="s">
        <v>31</v>
      </c>
    </row>
    <row r="6" spans="1:37" x14ac:dyDescent="0.3">
      <c r="B6" s="11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12"/>
      <c r="T6" s="36">
        <v>0.72410107476671548</v>
      </c>
      <c r="U6" s="36">
        <v>0.20504239003172764</v>
      </c>
      <c r="Y6" s="61">
        <v>0</v>
      </c>
      <c r="Z6" s="51">
        <f>$T$2+SQRT($V$2)*_xlfn.NORM.S.INV($T6)</f>
        <v>1.5950682502932625</v>
      </c>
      <c r="AA6" s="51">
        <f>$T$3+SQRT($W$3)*_xlfn.NORM.S.INV($U6)</f>
        <v>-0.58247528289188299</v>
      </c>
      <c r="AB6" s="49"/>
      <c r="AC6" s="23">
        <v>1</v>
      </c>
      <c r="AD6" s="22">
        <v>0</v>
      </c>
      <c r="AE6" s="22">
        <v>5</v>
      </c>
      <c r="AF6" s="22">
        <v>0</v>
      </c>
      <c r="AG6" s="22">
        <v>0</v>
      </c>
      <c r="AH6" s="22">
        <v>5</v>
      </c>
      <c r="AI6" s="49"/>
      <c r="AJ6" s="59"/>
    </row>
    <row r="7" spans="1:37" ht="18" x14ac:dyDescent="0.3">
      <c r="B7" s="11"/>
      <c r="C7" s="10" t="s">
        <v>14</v>
      </c>
      <c r="D7" s="9"/>
      <c r="E7" s="10" t="s">
        <v>15</v>
      </c>
      <c r="F7" s="9"/>
      <c r="G7" s="9"/>
      <c r="H7" s="9"/>
      <c r="I7" s="9"/>
      <c r="J7" s="9"/>
      <c r="K7" s="9"/>
      <c r="L7" s="9"/>
      <c r="M7" s="9"/>
      <c r="N7" s="9"/>
      <c r="O7" s="9"/>
      <c r="P7" s="12"/>
      <c r="T7" s="36">
        <v>0.15038329325237543</v>
      </c>
      <c r="U7" s="36">
        <v>0.42929289076932209</v>
      </c>
      <c r="V7" s="36">
        <v>0.55534646607386151</v>
      </c>
      <c r="Y7" s="61">
        <f>Y6+dt</f>
        <v>0.1</v>
      </c>
      <c r="Z7" s="51">
        <f t="array" ref="Z7:AA7">MMULT(Z6:AA6,TRANSPOSE($C$16:$D$17))+TRANSPOSE($F$16:$F$17)+SQRT($H$16)*_xlfn.NORM.S.INV(T7:U7)</f>
        <v>0.50702984956905173</v>
      </c>
      <c r="AA7" s="51">
        <v>-0.66064997872366205</v>
      </c>
      <c r="AB7" s="50">
        <f t="array" ref="AB7">MMULT($C$24:$D$24,TRANSPOSE(Z7:AA7))+SQRT($F$24)*_xlfn.NORM.S.INV($V7)</f>
        <v>0.64621091830460664</v>
      </c>
      <c r="AC7" s="8">
        <v>0.69639376677203835</v>
      </c>
      <c r="AD7" s="21">
        <v>-2.5091424233715843E-2</v>
      </c>
      <c r="AE7" s="21">
        <v>0.85815602836879457</v>
      </c>
      <c r="AF7" s="21">
        <v>7.0921985815602828E-2</v>
      </c>
      <c r="AG7" s="21">
        <v>7.0921985815602828E-2</v>
      </c>
      <c r="AH7" s="21">
        <v>5.9645390070921982</v>
      </c>
      <c r="AI7" s="50">
        <v>1</v>
      </c>
      <c r="AJ7" s="60">
        <f>$AB7-AI7</f>
        <v>-0.35378908169539336</v>
      </c>
    </row>
    <row r="8" spans="1:37" x14ac:dyDescent="0.3">
      <c r="B8" s="11"/>
      <c r="C8" s="15">
        <v>17.499814174156725</v>
      </c>
      <c r="D8" s="9"/>
      <c r="E8" s="17">
        <v>0.65297495118760152</v>
      </c>
      <c r="F8" s="18">
        <v>0.58908535805970907</v>
      </c>
      <c r="G8" s="9"/>
      <c r="H8" s="9"/>
      <c r="I8" s="9"/>
      <c r="J8" s="9"/>
      <c r="K8" s="9"/>
      <c r="L8" s="9"/>
      <c r="M8" s="9"/>
      <c r="N8" s="9"/>
      <c r="O8" s="9"/>
      <c r="P8" s="12"/>
      <c r="T8" s="36">
        <v>0.10968871451917306</v>
      </c>
      <c r="U8" s="36">
        <v>0.62996827862135241</v>
      </c>
      <c r="V8" s="36">
        <v>0.68421548846683711</v>
      </c>
      <c r="Y8" s="61">
        <f>Y7+dt</f>
        <v>0.2</v>
      </c>
      <c r="Z8" s="51">
        <f t="array" ref="Z8:AA8">MMULT(Z7:AA7,TRANSPOSE($C$16:$D$17))+TRANSPOSE($F$16:$F$17)+SQRT($H$16)*_xlfn.NORM.S.INV(T8:U8)</f>
        <v>-0.78222041270191045</v>
      </c>
      <c r="AA8" s="51">
        <v>-0.22888064589393464</v>
      </c>
      <c r="AB8" s="50">
        <f t="array" ref="AB8">MMULT($C$24:$D$24,TRANSPOSE(Z8:AA8))+SQRT($F$24)*_xlfn.NORM.S.INV($V8)</f>
        <v>-0.30270080568025259</v>
      </c>
      <c r="AC8" s="8">
        <v>3.7200371441920566E-2</v>
      </c>
      <c r="AD8" s="21">
        <v>-0.25193327364645696</v>
      </c>
      <c r="AE8" s="21">
        <v>0.65893422994122064</v>
      </c>
      <c r="AF8" s="21">
        <v>0.2276190706562492</v>
      </c>
      <c r="AG8" s="21">
        <v>0.2276190706562492</v>
      </c>
      <c r="AH8" s="21">
        <v>6.8126315280230276</v>
      </c>
      <c r="AI8" s="50">
        <v>0.69388462434866671</v>
      </c>
      <c r="AJ8" s="60">
        <f>$AB8-AI8</f>
        <v>-0.99658543002891931</v>
      </c>
      <c r="AK8">
        <f>AB7</f>
        <v>0.64621091830460664</v>
      </c>
    </row>
    <row r="9" spans="1:37" x14ac:dyDescent="0.3">
      <c r="B9" s="11"/>
      <c r="C9" s="16">
        <v>9.1400109767716291</v>
      </c>
      <c r="D9" s="9"/>
      <c r="E9" s="19">
        <v>0.58908535805970907</v>
      </c>
      <c r="F9" s="20">
        <v>11.084460631320551</v>
      </c>
      <c r="G9" s="9"/>
      <c r="H9" s="9"/>
      <c r="I9" s="9"/>
      <c r="J9" s="9"/>
      <c r="K9" s="9"/>
      <c r="L9" s="9"/>
      <c r="M9" s="9"/>
      <c r="N9" s="9"/>
      <c r="O9" s="9"/>
      <c r="P9" s="12"/>
      <c r="T9" s="36">
        <v>0.41715675173491151</v>
      </c>
      <c r="U9" s="36">
        <v>0.403091014093238</v>
      </c>
      <c r="V9" s="36">
        <v>0.25833702623912658</v>
      </c>
      <c r="Y9" s="61">
        <f>Y8+dt</f>
        <v>0.30000000000000004</v>
      </c>
      <c r="Z9" s="51">
        <f t="array" ref="Z9:AA9">MMULT(Z8:AA8,TRANSPOSE($C$16:$D$17))+TRANSPOSE($F$16:$F$17)+SQRT($H$16)*_xlfn.NORM.S.INV(T9:U9)</f>
        <v>-1.0092810745455476</v>
      </c>
      <c r="AA9" s="51">
        <v>-0.37423505281425212</v>
      </c>
      <c r="AB9" s="50">
        <f t="array" ref="AB9">MMULT($C$24:$D$24,TRANSPOSE(Z9:AA9))+SQRT($F$24)*_xlfn.NORM.S.INV($V9)</f>
        <v>-1.6577618322452921</v>
      </c>
      <c r="AC9" s="8">
        <v>-1.0555190652434618</v>
      </c>
      <c r="AD9" s="21">
        <v>-0.79930101878091087</v>
      </c>
      <c r="AE9" s="21">
        <v>0.63932567222825121</v>
      </c>
      <c r="AF9" s="21">
        <v>0.32781048496960563</v>
      </c>
      <c r="AG9" s="21">
        <v>0.32781048496960552</v>
      </c>
      <c r="AH9" s="21">
        <v>7.5146904055708266</v>
      </c>
      <c r="AI9" s="50">
        <v>1.2007044077274868E-2</v>
      </c>
      <c r="AJ9" s="60">
        <f t="shared" ref="AJ9:AJ66" si="0">$AB9-AI9</f>
        <v>-1.6697688763225669</v>
      </c>
      <c r="AK9">
        <f t="shared" ref="AK9:AK66" si="1">AB8</f>
        <v>-0.30270080568025259</v>
      </c>
    </row>
    <row r="10" spans="1:37" ht="17.25" thickBot="1" x14ac:dyDescent="0.35">
      <c r="B10" s="3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4"/>
      <c r="T10" s="36">
        <v>0.5700632852648424</v>
      </c>
      <c r="U10" s="36">
        <v>0.29423159255972131</v>
      </c>
      <c r="V10" s="36">
        <v>0.93347355322021364</v>
      </c>
      <c r="Y10" s="61">
        <f>Y9+dt</f>
        <v>0.4</v>
      </c>
      <c r="Z10" s="51">
        <f t="array" ref="Z10:AA10">MMULT(Z9:AA9,TRANSPOSE($C$16:$D$17))+TRANSPOSE($F$16:$F$17)+SQRT($H$16)*_xlfn.NORM.S.INV(T10:U10)</f>
        <v>-0.86516929347364968</v>
      </c>
      <c r="AA10" s="51">
        <v>-0.81529946704061973</v>
      </c>
      <c r="AB10" s="50">
        <f t="array" ref="AB10">MMULT($C$24:$D$24,TRANSPOSE(Z10:AA10))+SQRT($F$24)*_xlfn.NORM.S.INV($V10)</f>
        <v>0.637001933863653</v>
      </c>
      <c r="AC10" s="8">
        <v>-5.624526608309921E-4</v>
      </c>
      <c r="AD10" s="21">
        <v>-0.11119083020005183</v>
      </c>
      <c r="AE10" s="21">
        <v>0.64029225620379737</v>
      </c>
      <c r="AF10" s="21">
        <v>0.3882252030526413</v>
      </c>
      <c r="AG10" s="21">
        <v>0.38822520305264119</v>
      </c>
      <c r="AH10" s="21">
        <v>8.0956868926226697</v>
      </c>
      <c r="AI10" s="50">
        <v>-1.135449167121553</v>
      </c>
      <c r="AJ10" s="60">
        <f t="shared" si="0"/>
        <v>1.772451100985206</v>
      </c>
      <c r="AK10">
        <f t="shared" si="1"/>
        <v>-1.6577618322452921</v>
      </c>
    </row>
    <row r="11" spans="1:37" x14ac:dyDescent="0.3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T11" s="36">
        <v>0.25029299674317862</v>
      </c>
      <c r="U11" s="36">
        <v>0.11196210292464126</v>
      </c>
      <c r="V11" s="36">
        <v>0.51528812148575021</v>
      </c>
      <c r="Y11" s="61">
        <f>Y10+dt</f>
        <v>0.5</v>
      </c>
      <c r="Z11" s="51">
        <f t="array" ref="Z11:AA11">MMULT(Z10:AA10,TRANSPOSE($C$16:$D$17))+TRANSPOSE($F$16:$F$17)+SQRT($H$16)*_xlfn.NORM.S.INV(T11:U11)</f>
        <v>-1.6152672556043299</v>
      </c>
      <c r="AA11" s="51">
        <v>-1.9314588685407839</v>
      </c>
      <c r="AB11" s="50">
        <f t="array" ref="AB11">MMULT($C$24:$D$24,TRANSPOSE(Z11:AA11))+SQRT($F$24)*_xlfn.NORM.S.INV($V11)</f>
        <v>-1.5769362336713175</v>
      </c>
      <c r="AC11" s="8">
        <v>-1.0176958318191327</v>
      </c>
      <c r="AD11" s="21">
        <v>-0.78104556787433321</v>
      </c>
      <c r="AE11" s="21">
        <v>0.64271603684042411</v>
      </c>
      <c r="AF11" s="21">
        <v>0.4279525488946051</v>
      </c>
      <c r="AG11" s="21">
        <v>0.42795254889460499</v>
      </c>
      <c r="AH11" s="21">
        <v>8.5830879433561158</v>
      </c>
      <c r="AI11" s="50">
        <v>-1.1681535680836175E-2</v>
      </c>
      <c r="AJ11" s="60">
        <f t="shared" si="0"/>
        <v>-1.5652546979904813</v>
      </c>
      <c r="AK11">
        <f t="shared" si="1"/>
        <v>0.637001933863653</v>
      </c>
    </row>
    <row r="12" spans="1:37" ht="17.25" thickBot="1" x14ac:dyDescent="0.3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T12" s="36">
        <v>0.43747417610885497</v>
      </c>
      <c r="U12" s="36">
        <v>0.43966976024496329</v>
      </c>
      <c r="V12" s="36">
        <v>0.41311956423157881</v>
      </c>
      <c r="Y12" s="61">
        <f>Y11+dt</f>
        <v>0.6</v>
      </c>
      <c r="Z12" s="51">
        <f t="array" ref="Z12:AA12">MMULT(Z11:AA11,TRANSPOSE($C$16:$D$17))+TRANSPOSE($F$16:$F$17)+SQRT($H$16)*_xlfn.NORM.S.INV(T12:U12)</f>
        <v>-1.9607893642142469</v>
      </c>
      <c r="AA12" s="51">
        <v>-1.9832654126726177</v>
      </c>
      <c r="AB12" s="50">
        <f t="array" ref="AB12">MMULT($C$24:$D$24,TRANSPOSE(Z12:AA12))+SQRT($F$24)*_xlfn.NORM.S.INV($V12)</f>
        <v>-2.1803169051772162</v>
      </c>
      <c r="AC12" s="8">
        <v>-1.7949354001624496</v>
      </c>
      <c r="AD12" s="21">
        <v>-1.276746900170709</v>
      </c>
      <c r="AE12" s="21">
        <v>0.64465132699557115</v>
      </c>
      <c r="AF12" s="21">
        <v>0.45707126145375221</v>
      </c>
      <c r="AG12" s="21">
        <v>0.45707126145375199</v>
      </c>
      <c r="AH12" s="21">
        <v>8.995174848646684</v>
      </c>
      <c r="AI12" s="50">
        <v>-1.0958003886065661</v>
      </c>
      <c r="AJ12" s="60">
        <f t="shared" si="0"/>
        <v>-1.0845165165706501</v>
      </c>
      <c r="AK12">
        <f t="shared" si="1"/>
        <v>-1.5769362336713175</v>
      </c>
    </row>
    <row r="13" spans="1:37" x14ac:dyDescent="0.3">
      <c r="A13" s="9"/>
      <c r="B13" s="37" t="s">
        <v>16</v>
      </c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9"/>
      <c r="Q13" s="9"/>
      <c r="T13" s="36">
        <v>0.99394782103163337</v>
      </c>
      <c r="U13" s="36">
        <v>0.61770717354225824</v>
      </c>
      <c r="V13" s="36">
        <v>0.54333644177283436</v>
      </c>
      <c r="Y13" s="61">
        <f>Y12+dt</f>
        <v>0.7</v>
      </c>
      <c r="Z13" s="51">
        <f t="array" ref="Z13:AA13">MMULT(Z12:AA12,TRANSPOSE($C$16:$D$17))+TRANSPOSE($F$16:$F$17)+SQRT($H$16)*_xlfn.NORM.S.INV(T13:U13)</f>
        <v>0.35497135370688948</v>
      </c>
      <c r="AA13" s="51">
        <v>-1.5838009102486219</v>
      </c>
      <c r="AB13" s="50">
        <f t="array" ref="AB13">MMULT($C$24:$D$24,TRANSPOSE(Z13:AA13))+SQRT($F$24)*_xlfn.NORM.S.INV($V13)</f>
        <v>0.46381422873363981</v>
      </c>
      <c r="AC13" s="8">
        <v>-0.38063364335139238</v>
      </c>
      <c r="AD13" s="21">
        <v>-0.13117842004761737</v>
      </c>
      <c r="AE13" s="21">
        <v>0.64614512792527368</v>
      </c>
      <c r="AF13" s="21">
        <v>0.48003553728651815</v>
      </c>
      <c r="AG13" s="21">
        <v>0.48003553728651793</v>
      </c>
      <c r="AH13" s="21">
        <v>9.343964040930878</v>
      </c>
      <c r="AI13" s="50">
        <v>-1.9226100901795204</v>
      </c>
      <c r="AJ13" s="60">
        <f t="shared" si="0"/>
        <v>2.3864243189131602</v>
      </c>
      <c r="AK13">
        <f t="shared" si="1"/>
        <v>-2.1803169051772162</v>
      </c>
    </row>
    <row r="14" spans="1:37" x14ac:dyDescent="0.3">
      <c r="A14" s="9"/>
      <c r="B14" s="11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12"/>
      <c r="Q14" s="9"/>
      <c r="T14" s="36">
        <v>0.33525157148877582</v>
      </c>
      <c r="U14" s="36">
        <v>0.17361093132761396</v>
      </c>
      <c r="V14" s="36">
        <v>0.7162342014802846</v>
      </c>
      <c r="Y14" s="61">
        <f>Y13+dt</f>
        <v>0.79999999999999993</v>
      </c>
      <c r="Z14" s="51">
        <f t="array" ref="Z14:AA14">MMULT(Z13:AA13,TRANSPOSE($C$16:$D$17))+TRANSPOSE($F$16:$F$17)+SQRT($H$16)*_xlfn.NORM.S.INV(T14:U14)</f>
        <v>-0.223866311593336</v>
      </c>
      <c r="AA14" s="51">
        <v>-2.4237925234210995</v>
      </c>
      <c r="AB14" s="50">
        <f t="array" ref="AB14">MMULT($C$24:$D$24,TRANSPOSE(Z14:AA14))+SQRT($F$24)*_xlfn.NORM.S.INV($V14)</f>
        <v>0.3478242984015405</v>
      </c>
      <c r="AC14" s="8">
        <v>8.6300138282201289E-2</v>
      </c>
      <c r="AD14" s="21">
        <v>0.23872970546765043</v>
      </c>
      <c r="AE14" s="21">
        <v>0.64733994037109688</v>
      </c>
      <c r="AF14" s="21">
        <v>0.4988136527879572</v>
      </c>
      <c r="AG14" s="21">
        <v>0.49881365278795708</v>
      </c>
      <c r="AH14" s="21">
        <v>9.6384260776313546</v>
      </c>
      <c r="AI14" s="50">
        <v>-0.39375148535615412</v>
      </c>
      <c r="AJ14" s="60">
        <f t="shared" si="0"/>
        <v>0.74157578375769462</v>
      </c>
      <c r="AK14">
        <f t="shared" si="1"/>
        <v>0.46381422873363981</v>
      </c>
    </row>
    <row r="15" spans="1:37" ht="18" x14ac:dyDescent="0.3">
      <c r="A15" s="9"/>
      <c r="B15" s="11"/>
      <c r="C15" s="10" t="s">
        <v>1</v>
      </c>
      <c r="D15" s="9"/>
      <c r="E15" s="9"/>
      <c r="F15" s="10" t="s">
        <v>2</v>
      </c>
      <c r="G15" s="9"/>
      <c r="H15" s="10" t="s">
        <v>3</v>
      </c>
      <c r="I15" s="9"/>
      <c r="J15" s="9"/>
      <c r="K15" s="10" t="s">
        <v>5</v>
      </c>
      <c r="L15" s="9"/>
      <c r="M15" s="10" t="s">
        <v>6</v>
      </c>
      <c r="N15" s="9"/>
      <c r="O15" s="9"/>
      <c r="P15" s="12"/>
      <c r="Q15" s="9"/>
      <c r="T15" s="36">
        <v>0.46921508830597047</v>
      </c>
      <c r="U15" s="36">
        <v>0.76583003858802534</v>
      </c>
      <c r="V15" s="36">
        <v>0.79405053182424323</v>
      </c>
      <c r="Y15" s="61">
        <f>Y14+dt</f>
        <v>0.89999999999999991</v>
      </c>
      <c r="Z15" s="51">
        <f t="array" ref="Z15:AA15">MMULT(Z14:AA14,TRANSPOSE($C$16:$D$17))+TRANSPOSE($F$16:$F$17)+SQRT($H$16)*_xlfn.NORM.S.INV(T15:U15)</f>
        <v>-0.53848863702471039</v>
      </c>
      <c r="AA15" s="51">
        <v>-1.59860977156734</v>
      </c>
      <c r="AB15" s="50">
        <f t="array" ref="AB15">MMULT($C$24:$D$24,TRANSPOSE(Z15:AA15))+SQRT($F$24)*_xlfn.NORM.S.INV($V15)</f>
        <v>0.2820678590139627</v>
      </c>
      <c r="AC15" s="8">
        <v>0.22161576118001014</v>
      </c>
      <c r="AD15" s="21">
        <v>0.32715034482792826</v>
      </c>
      <c r="AE15" s="21">
        <v>0.64831911522083807</v>
      </c>
      <c r="AF15" s="21">
        <v>0.51438824783838899</v>
      </c>
      <c r="AG15" s="21">
        <v>0.51438824783838899</v>
      </c>
      <c r="AH15" s="21">
        <v>9.8860528865766284</v>
      </c>
      <c r="AI15" s="50">
        <v>0.11017310882896633</v>
      </c>
      <c r="AJ15" s="60">
        <f t="shared" si="0"/>
        <v>0.17189475018499636</v>
      </c>
      <c r="AK15">
        <f t="shared" si="1"/>
        <v>0.3478242984015405</v>
      </c>
    </row>
    <row r="16" spans="1:37" x14ac:dyDescent="0.3">
      <c r="A16" s="9"/>
      <c r="B16" s="11"/>
      <c r="C16" s="26">
        <v>1</v>
      </c>
      <c r="D16" s="27">
        <f>dt</f>
        <v>0.1</v>
      </c>
      <c r="E16" s="9"/>
      <c r="F16" s="30">
        <f>dt^2/2</f>
        <v>5.000000000000001E-3</v>
      </c>
      <c r="G16" s="9"/>
      <c r="H16" s="26">
        <v>1</v>
      </c>
      <c r="I16" s="27">
        <v>0</v>
      </c>
      <c r="J16" s="9"/>
      <c r="K16" s="5">
        <f t="array" ref="K16:K17">MMULT($C$16:$D$17,$C$8:$C$9)</f>
        <v>18.413815271833887</v>
      </c>
      <c r="L16" s="9"/>
      <c r="M16" s="1">
        <f t="array" ref="M16:N17">MMULT(MMULT($C$16:$D$17,$E$8:$F$9),TRANSPOSE($C$16:$D$17))+$H$16:$I$17</f>
        <v>1.8816366291127489</v>
      </c>
      <c r="N16" s="2">
        <v>1.6975314211917643</v>
      </c>
      <c r="O16" s="9"/>
      <c r="P16" s="12"/>
      <c r="Q16" s="9"/>
      <c r="T16" s="36">
        <v>0.38321836100805517</v>
      </c>
      <c r="U16" s="36">
        <v>0.48105452998610188</v>
      </c>
      <c r="V16" s="36">
        <v>0.93264692496542556</v>
      </c>
      <c r="Y16" s="61">
        <f>Y15+dt</f>
        <v>0.99999999999999989</v>
      </c>
      <c r="Z16" s="51">
        <f t="array" ref="Z16:AA16">MMULT(Z15:AA15,TRANSPOSE($C$16:$D$17))+TRANSPOSE($F$16:$F$17)+SQRT($H$16)*_xlfn.NORM.S.INV(T16:U16)</f>
        <v>-0.99038863041222602</v>
      </c>
      <c r="AA16" s="51">
        <v>-1.5461168863390042</v>
      </c>
      <c r="AB16" s="50">
        <f t="array" ref="AB16">MMULT($C$24:$D$24,TRANSPOSE(Z16:AA16))+SQRT($F$24)*_xlfn.NORM.S.INV($V16)</f>
        <v>0.50540995516531506</v>
      </c>
      <c r="AC16" s="8">
        <v>0.41731377546340326</v>
      </c>
      <c r="AD16" s="21">
        <v>0.45955833350989639</v>
      </c>
      <c r="AE16" s="21">
        <v>0.64912986057279509</v>
      </c>
      <c r="AF16" s="21">
        <v>0.5273555517085573</v>
      </c>
      <c r="AG16" s="21">
        <v>0.52735555170855741</v>
      </c>
      <c r="AH16" s="21">
        <v>10.093440900923357</v>
      </c>
      <c r="AI16" s="50">
        <v>0.25433079566280298</v>
      </c>
      <c r="AJ16" s="60">
        <f t="shared" si="0"/>
        <v>0.25107915950251208</v>
      </c>
      <c r="AK16">
        <f t="shared" si="1"/>
        <v>0.2820678590139627</v>
      </c>
    </row>
    <row r="17" spans="1:37" x14ac:dyDescent="0.3">
      <c r="A17" s="9"/>
      <c r="B17" s="11"/>
      <c r="C17" s="28">
        <v>0</v>
      </c>
      <c r="D17" s="29">
        <v>1</v>
      </c>
      <c r="E17" s="9"/>
      <c r="F17" s="31">
        <f>dt</f>
        <v>0.1</v>
      </c>
      <c r="G17" s="9"/>
      <c r="H17" s="28">
        <v>0</v>
      </c>
      <c r="I17" s="29">
        <f>H16</f>
        <v>1</v>
      </c>
      <c r="J17" s="9"/>
      <c r="K17" s="6">
        <v>9.1400109767716291</v>
      </c>
      <c r="L17" s="9"/>
      <c r="M17" s="3">
        <v>1.6975314211917643</v>
      </c>
      <c r="N17" s="4">
        <v>12.084460631320551</v>
      </c>
      <c r="O17" s="9"/>
      <c r="P17" s="12"/>
      <c r="Q17" s="9"/>
      <c r="T17" s="36">
        <v>0.26075305530200898</v>
      </c>
      <c r="U17" s="36">
        <v>0.8395114178123535</v>
      </c>
      <c r="V17" s="36">
        <v>0.18489244069536837</v>
      </c>
      <c r="Y17" s="61">
        <f>Y16+dt</f>
        <v>1.0999999999999999</v>
      </c>
      <c r="Z17" s="51">
        <f t="array" ref="Z17:AA17">MMULT(Z16:AA16,TRANSPOSE($C$16:$D$17))+TRANSPOSE($F$16:$F$17)+SQRT($H$16)*_xlfn.NORM.S.INV(T17:U17)</f>
        <v>-1.7810258266376127</v>
      </c>
      <c r="AA17" s="51">
        <v>-0.45366505237144716</v>
      </c>
      <c r="AB17" s="50">
        <f t="array" ref="AB17">MMULT($C$24:$D$24,TRANSPOSE(Z17:AA17))+SQRT($F$24)*_xlfn.NORM.S.INV($V17)</f>
        <v>-2.6779022137140505</v>
      </c>
      <c r="AC17" s="8">
        <v>-1.5778731807653041</v>
      </c>
      <c r="AD17" s="21">
        <v>-1.2308558873930249</v>
      </c>
      <c r="AE17" s="21">
        <v>0.64980297319002034</v>
      </c>
      <c r="AF17" s="21">
        <v>0.53814764565863382</v>
      </c>
      <c r="AG17" s="21">
        <v>0.53814764565863371</v>
      </c>
      <c r="AH17" s="21">
        <v>10.26646960660374</v>
      </c>
      <c r="AI17" s="50">
        <v>0.46326960881439289</v>
      </c>
      <c r="AJ17" s="60">
        <f t="shared" si="0"/>
        <v>-3.1411718225284435</v>
      </c>
      <c r="AK17">
        <f t="shared" si="1"/>
        <v>0.50540995516531506</v>
      </c>
    </row>
    <row r="18" spans="1:37" ht="17.25" thickBot="1" x14ac:dyDescent="0.35">
      <c r="A18" s="9"/>
      <c r="B18" s="3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4"/>
      <c r="Q18" s="9"/>
      <c r="T18" s="36">
        <v>7.7129370198650404E-2</v>
      </c>
      <c r="U18" s="36">
        <v>0.31521617502567745</v>
      </c>
      <c r="V18" s="36">
        <v>2.7066230131196356E-3</v>
      </c>
      <c r="Y18" s="61">
        <f>Y17+dt</f>
        <v>1.2</v>
      </c>
      <c r="Z18" s="51">
        <f t="array" ref="Z18:AA18">MMULT(Z17:AA17,TRANSPOSE($C$16:$D$17))+TRANSPOSE($F$16:$F$17)+SQRT($H$16)*_xlfn.NORM.S.INV(T18:U18)</f>
        <v>-3.2460411516701564</v>
      </c>
      <c r="AA18" s="51">
        <v>-0.83478345435273116</v>
      </c>
      <c r="AB18" s="50">
        <f t="array" ref="AB18">MMULT($C$24:$D$24,TRANSPOSE(Z18:AA18))+SQRT($F$24)*_xlfn.NORM.S.INV($V18)</f>
        <v>-6.0273964296092917</v>
      </c>
      <c r="AC18" s="8">
        <v>-4.5147073984310975</v>
      </c>
      <c r="AD18" s="21">
        <v>-3.5979035244185886</v>
      </c>
      <c r="AE18" s="21">
        <v>0.65036153297038557</v>
      </c>
      <c r="AF18" s="21">
        <v>0.54711238736958689</v>
      </c>
      <c r="AG18" s="21">
        <v>0.54711238736958712</v>
      </c>
      <c r="AH18" s="21">
        <v>10.410351093797495</v>
      </c>
      <c r="AI18" s="50">
        <v>-1.7009587695046067</v>
      </c>
      <c r="AJ18" s="60">
        <f t="shared" si="0"/>
        <v>-4.326437660104685</v>
      </c>
      <c r="AK18">
        <f t="shared" si="1"/>
        <v>-2.6779022137140505</v>
      </c>
    </row>
    <row r="19" spans="1:37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T19" s="36">
        <v>0.85127863279377891</v>
      </c>
      <c r="U19" s="36">
        <v>0.17810357050897951</v>
      </c>
      <c r="V19" s="36">
        <v>0.13127071775509191</v>
      </c>
      <c r="Y19" s="61">
        <f>Y18+dt</f>
        <v>1.3</v>
      </c>
      <c r="Z19" s="51">
        <f t="array" ref="Z19:AA19">MMULT(Z18:AA18,TRANSPOSE($C$16:$D$17))+TRANSPOSE($F$16:$F$17)+SQRT($H$16)*_xlfn.NORM.S.INV(T19:U19)</f>
        <v>-2.2825864783908152</v>
      </c>
      <c r="AA19" s="51">
        <v>-1.6573998640349983</v>
      </c>
      <c r="AB19" s="50">
        <f t="array" ref="AB19">MMULT($C$24:$D$24,TRANSPOSE(Z19:AA19))+SQRT($F$24)*_xlfn.NORM.S.INV($V19)</f>
        <v>-3.4029909612061124</v>
      </c>
      <c r="AC19" s="8">
        <v>-3.9168054105098369</v>
      </c>
      <c r="AD19" s="21">
        <v>-2.7818903929632395</v>
      </c>
      <c r="AE19" s="21">
        <v>0.65082427555767186</v>
      </c>
      <c r="AF19" s="21">
        <v>0.5545425526987191</v>
      </c>
      <c r="AG19" s="21">
        <v>0.55454255269871933</v>
      </c>
      <c r="AH19" s="21">
        <v>10.529655726888036</v>
      </c>
      <c r="AI19" s="50">
        <v>-4.8744977508729566</v>
      </c>
      <c r="AJ19" s="60">
        <f t="shared" si="0"/>
        <v>1.4715067896668441</v>
      </c>
      <c r="AK19">
        <f t="shared" si="1"/>
        <v>-6.0273964296092917</v>
      </c>
    </row>
    <row r="20" spans="1:37" ht="17.25" thickBo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T20" s="36">
        <v>0.77822048499071306</v>
      </c>
      <c r="U20" s="36">
        <v>0.36274674035332122</v>
      </c>
      <c r="V20" s="36">
        <v>0.1807854312637871</v>
      </c>
      <c r="Y20" s="61">
        <f>Y19+dt</f>
        <v>1.4000000000000001</v>
      </c>
      <c r="Z20" s="51">
        <f t="array" ref="Z20:AA20">MMULT(Z19:AA19,TRANSPOSE($C$16:$D$17))+TRANSPOSE($F$16:$F$17)+SQRT($H$16)*_xlfn.NORM.S.INV(T20:U20)</f>
        <v>-1.6771293586687253</v>
      </c>
      <c r="AA20" s="51">
        <v>-1.9085263203932776</v>
      </c>
      <c r="AB20" s="50">
        <f t="array" ref="AB20">MMULT($C$24:$D$24,TRANSPOSE(Z20:AA20))+SQRT($F$24)*_xlfn.NORM.S.INV($V20)</f>
        <v>-2.5895052760511463</v>
      </c>
      <c r="AC20" s="8">
        <v>-3.1494887926027921</v>
      </c>
      <c r="AD20" s="21">
        <v>-1.8817123400233904</v>
      </c>
      <c r="AE20" s="21">
        <v>0.65120691829897348</v>
      </c>
      <c r="AF20" s="21">
        <v>0.5606877129133534</v>
      </c>
      <c r="AG20" s="21">
        <v>0.56068771291335362</v>
      </c>
      <c r="AH20" s="21">
        <v>10.628345672574874</v>
      </c>
      <c r="AI20" s="50">
        <v>-4.1949944498061607</v>
      </c>
      <c r="AJ20" s="60">
        <f t="shared" si="0"/>
        <v>1.6054891737550143</v>
      </c>
      <c r="AK20">
        <f t="shared" si="1"/>
        <v>-3.4029909612061124</v>
      </c>
    </row>
    <row r="21" spans="1:37" x14ac:dyDescent="0.3">
      <c r="A21" s="9"/>
      <c r="B21" s="37" t="s">
        <v>17</v>
      </c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9"/>
      <c r="T21" s="36">
        <v>0.47458479750953064</v>
      </c>
      <c r="U21" s="36">
        <v>0.30410050370669517</v>
      </c>
      <c r="V21" s="36">
        <v>0.78642406056442238</v>
      </c>
      <c r="Y21" s="61">
        <f>Y20+dt</f>
        <v>1.5000000000000002</v>
      </c>
      <c r="Z21" s="51">
        <f t="array" ref="Z21:AA21">MMULT(Z20:AA20,TRANSPOSE($C$16:$D$17))+TRANSPOSE($F$16:$F$17)+SQRT($H$16)*_xlfn.NORM.S.INV(T21:U21)</f>
        <v>-1.9267316094556659</v>
      </c>
      <c r="AA21" s="51">
        <v>-2.3211694076484015</v>
      </c>
      <c r="AB21" s="50">
        <f t="array" ref="AB21">MMULT($C$24:$D$24,TRANSPOSE(Z21:AA21))+SQRT($F$24)*_xlfn.NORM.S.INV($V21)</f>
        <v>-1.1326567954097233</v>
      </c>
      <c r="AC21" s="8">
        <v>-1.901050222887203</v>
      </c>
      <c r="AD21" s="21">
        <v>-0.63420849057686457</v>
      </c>
      <c r="AE21" s="21">
        <v>0.65152276576896107</v>
      </c>
      <c r="AF21" s="21">
        <v>0.56576055390640456</v>
      </c>
      <c r="AG21" s="21">
        <v>0.56576055390640478</v>
      </c>
      <c r="AH21" s="21">
        <v>10.709820808066029</v>
      </c>
      <c r="AI21" s="50">
        <v>-3.3376600266051311</v>
      </c>
      <c r="AJ21" s="60">
        <f t="shared" si="0"/>
        <v>2.2050032311954078</v>
      </c>
      <c r="AK21">
        <f t="shared" si="1"/>
        <v>-2.5895052760511463</v>
      </c>
    </row>
    <row r="22" spans="1:37" x14ac:dyDescent="0.3">
      <c r="A22" s="9"/>
      <c r="B22" s="11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12"/>
      <c r="Q22" s="9"/>
      <c r="T22" s="36">
        <v>0.55505124423471286</v>
      </c>
      <c r="U22" s="36">
        <v>0.7547717887191383</v>
      </c>
      <c r="V22" s="36">
        <v>9.9494072224889152E-2</v>
      </c>
      <c r="Y22" s="61">
        <f>Y21+dt</f>
        <v>1.6000000000000003</v>
      </c>
      <c r="Z22" s="51">
        <f t="array" ref="Z22:AA22">MMULT(Z21:AA21,TRANSPOSE($C$16:$D$17))+TRANSPOSE($F$16:$F$17)+SQRT($H$16)*_xlfn.NORM.S.INV(T22:U22)</f>
        <v>-2.0154146564529558</v>
      </c>
      <c r="AA22" s="51">
        <v>-1.5315863464262249</v>
      </c>
      <c r="AB22" s="50">
        <f t="array" ref="AB22">MMULT($C$24:$D$24,TRANSPOSE(Z22:AA22))+SQRT($F$24)*_xlfn.NORM.S.INV($V22)</f>
        <v>-3.299854371129288</v>
      </c>
      <c r="AC22" s="8">
        <v>-2.8348513016559109</v>
      </c>
      <c r="AD22" s="21">
        <v>-1.3952988396563559</v>
      </c>
      <c r="AE22" s="21">
        <v>0.6517830725025664</v>
      </c>
      <c r="AF22" s="21">
        <v>0.56994149136381766</v>
      </c>
      <c r="AG22" s="21">
        <v>0.56994149136381766</v>
      </c>
      <c r="AH22" s="21">
        <v>10.776973269858953</v>
      </c>
      <c r="AI22" s="50">
        <v>-1.9644710719448895</v>
      </c>
      <c r="AJ22" s="60">
        <f t="shared" si="0"/>
        <v>-1.3353832991843986</v>
      </c>
      <c r="AK22">
        <f t="shared" si="1"/>
        <v>-1.1326567954097233</v>
      </c>
    </row>
    <row r="23" spans="1:37" ht="18" x14ac:dyDescent="0.3">
      <c r="A23" s="9"/>
      <c r="B23" s="11"/>
      <c r="C23" s="10" t="s">
        <v>10</v>
      </c>
      <c r="D23" s="9"/>
      <c r="E23" s="9"/>
      <c r="F23" s="10" t="s">
        <v>13</v>
      </c>
      <c r="G23" s="9"/>
      <c r="H23" s="10" t="s">
        <v>11</v>
      </c>
      <c r="I23" s="9"/>
      <c r="J23" s="10" t="s">
        <v>12</v>
      </c>
      <c r="K23" s="9"/>
      <c r="L23" s="10" t="s">
        <v>9</v>
      </c>
      <c r="M23" s="9"/>
      <c r="N23" s="9"/>
      <c r="O23" s="9"/>
      <c r="P23" s="12"/>
      <c r="Q23" s="9"/>
      <c r="T23" s="36">
        <v>0.9254439469380189</v>
      </c>
      <c r="U23" s="36">
        <v>0.64430094083183964</v>
      </c>
      <c r="V23" s="36">
        <v>0.83628358938630254</v>
      </c>
      <c r="Y23" s="61">
        <f>Y22+dt</f>
        <v>1.7000000000000004</v>
      </c>
      <c r="Z23" s="51">
        <f t="array" ref="Z23:AA23">MMULT(Z22:AA22,TRANSPOSE($C$16:$D$17))+TRANSPOSE($F$16:$F$17)+SQRT($H$16)*_xlfn.NORM.S.INV(T23:U23)</f>
        <v>-0.72089850832287627</v>
      </c>
      <c r="AA23" s="51">
        <v>-1.061607320721321</v>
      </c>
      <c r="AB23" s="50">
        <f t="array" ref="AB23">MMULT($C$24:$D$24,TRANSPOSE(Z23:AA23))+SQRT($F$24)*_xlfn.NORM.S.INV($V23)</f>
        <v>0.25839936443516109</v>
      </c>
      <c r="AC23" s="8">
        <v>-0.86661692509989763</v>
      </c>
      <c r="AD23" s="21">
        <v>0.45832167025736736</v>
      </c>
      <c r="AE23" s="21">
        <v>0.65199732177449388</v>
      </c>
      <c r="AF23" s="21">
        <v>0.57338272153400816</v>
      </c>
      <c r="AG23" s="21">
        <v>0.57338272153400816</v>
      </c>
      <c r="AH23" s="21">
        <v>10.832245640088518</v>
      </c>
      <c r="AI23" s="50">
        <v>-2.9743811856215467</v>
      </c>
      <c r="AJ23" s="60">
        <f t="shared" si="0"/>
        <v>3.2327805500567077</v>
      </c>
      <c r="AK23">
        <f t="shared" si="1"/>
        <v>-3.299854371129288</v>
      </c>
    </row>
    <row r="24" spans="1:37" x14ac:dyDescent="0.3">
      <c r="A24" s="9"/>
      <c r="B24" s="11"/>
      <c r="C24" s="24">
        <v>1</v>
      </c>
      <c r="D24" s="25">
        <v>0</v>
      </c>
      <c r="E24" s="9"/>
      <c r="F24" s="32">
        <v>1</v>
      </c>
      <c r="G24" s="9"/>
      <c r="H24" s="21">
        <f>MMULT($C$24:$D$24,$K$16:$K$17)</f>
        <v>18.413815271833887</v>
      </c>
      <c r="I24" s="9"/>
      <c r="J24" s="5">
        <f t="array" ref="J24:J25">MMULT(MMULT($M$16:$N$17,TRANSPOSE($C$24:$D$24)),MINVERSE(MMULT(MMULT($C$24:$D$24,$M$16:$N$17),TRANSPOSE($C$24:$D$24))+$F$24))</f>
        <v>0.65297498307137414</v>
      </c>
      <c r="K24" s="9"/>
      <c r="L24" s="22">
        <v>18.22221066563154</v>
      </c>
      <c r="M24" s="9"/>
      <c r="N24" s="9"/>
      <c r="O24" s="9"/>
      <c r="P24" s="12"/>
      <c r="Q24" s="9"/>
      <c r="T24" s="36">
        <v>0.44032658215662523</v>
      </c>
      <c r="U24" s="36">
        <v>0.71035326774073027</v>
      </c>
      <c r="V24" s="36">
        <v>0.45780670416569347</v>
      </c>
      <c r="Y24" s="61">
        <f>Y23+dt</f>
        <v>1.8000000000000005</v>
      </c>
      <c r="Z24" s="51">
        <f t="array" ref="Z24:AA24">MMULT(Z23:AA23,TRANSPOSE($C$16:$D$17))+TRANSPOSE($F$16:$F$17)+SQRT($H$16)*_xlfn.NORM.S.INV(T24:U24)</f>
        <v>-0.97220050524555257</v>
      </c>
      <c r="AA24" s="51">
        <v>-0.40719027711527223</v>
      </c>
      <c r="AB24" s="50">
        <f t="array" ref="AB24">MMULT($C$24:$D$24,TRANSPOSE(Z24:AA24))+SQRT($F$24)*_xlfn.NORM.S.INV($V24)</f>
        <v>-1.0781613629367837</v>
      </c>
      <c r="AC24" s="8">
        <v>-0.98863895108186628</v>
      </c>
      <c r="AD24" s="21">
        <v>0.31001819055914265</v>
      </c>
      <c r="AE24" s="21">
        <v>0.65217346812581956</v>
      </c>
      <c r="AF24" s="21">
        <v>0.57621196680787334</v>
      </c>
      <c r="AG24" s="21">
        <v>0.57621196680787312</v>
      </c>
      <c r="AH24" s="21">
        <v>10.877688697857614</v>
      </c>
      <c r="AI24" s="50">
        <v>-0.82078475807416085</v>
      </c>
      <c r="AJ24" s="60">
        <f t="shared" si="0"/>
        <v>-0.25737660486262282</v>
      </c>
      <c r="AK24">
        <f t="shared" si="1"/>
        <v>0.25839936443516109</v>
      </c>
    </row>
    <row r="25" spans="1:37" x14ac:dyDescent="0.3">
      <c r="A25" s="9"/>
      <c r="B25" s="11"/>
      <c r="C25" s="9"/>
      <c r="D25" s="9"/>
      <c r="E25" s="9"/>
      <c r="F25" s="9"/>
      <c r="G25" s="9"/>
      <c r="H25" s="9"/>
      <c r="I25" s="9"/>
      <c r="J25" s="6">
        <v>0.58908587017594627</v>
      </c>
      <c r="K25" s="9"/>
      <c r="L25" s="9"/>
      <c r="M25" s="9"/>
      <c r="N25" s="9"/>
      <c r="O25" s="9"/>
      <c r="P25" s="12"/>
      <c r="Q25" s="9"/>
      <c r="T25" s="36">
        <v>0.25716878171801205</v>
      </c>
      <c r="U25" s="36">
        <v>0.29302360874008138</v>
      </c>
      <c r="V25" s="36">
        <v>0.89082736736157719</v>
      </c>
      <c r="Y25" s="61">
        <f>Y24+dt</f>
        <v>1.9000000000000006</v>
      </c>
      <c r="Z25" s="51">
        <f t="array" ref="Z25:AA25">MMULT(Z24:AA24,TRANSPOSE($C$16:$D$17))+TRANSPOSE($F$16:$F$17)+SQRT($H$16)*_xlfn.NORM.S.INV(T25:U25)</f>
        <v>-1.6600181387359569</v>
      </c>
      <c r="AA25" s="51">
        <v>-0.85176329338147305</v>
      </c>
      <c r="AB25" s="50">
        <f t="array" ref="AB25">MMULT($C$24:$D$24,TRANSPOSE(Z25:AA25))+SQRT($F$24)*_xlfn.NORM.S.INV($V25)</f>
        <v>-0.42907803057991489</v>
      </c>
      <c r="AC25" s="8">
        <v>-0.61284843391187049</v>
      </c>
      <c r="AD25" s="21">
        <v>0.61580862003659964</v>
      </c>
      <c r="AE25" s="21">
        <v>0.65231815547363659</v>
      </c>
      <c r="AF25" s="21">
        <v>0.57853592652339692</v>
      </c>
      <c r="AG25" s="21">
        <v>0.57853592652339669</v>
      </c>
      <c r="AH25" s="21">
        <v>10.915016002841739</v>
      </c>
      <c r="AI25" s="50">
        <v>-0.95763713202595202</v>
      </c>
      <c r="AJ25" s="60">
        <f t="shared" si="0"/>
        <v>0.52855910144603713</v>
      </c>
      <c r="AK25">
        <f t="shared" si="1"/>
        <v>-1.0781613629367837</v>
      </c>
    </row>
    <row r="26" spans="1:37" ht="17.25" thickBot="1" x14ac:dyDescent="0.35">
      <c r="A26" s="9"/>
      <c r="B26" s="3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4"/>
      <c r="Q26" s="9"/>
      <c r="T26" s="36">
        <v>0.71702336869091676</v>
      </c>
      <c r="U26" s="36">
        <v>0.95079915710253071</v>
      </c>
      <c r="V26" s="36">
        <v>0.99525180601349628</v>
      </c>
      <c r="Y26" s="61">
        <f>Y25+dt</f>
        <v>2.0000000000000004</v>
      </c>
      <c r="Z26" s="51">
        <f t="array" ref="Z26:AA26">MMULT(Z25:AA25,TRANSPOSE($C$16:$D$17))+TRANSPOSE($F$16:$F$17)+SQRT($H$16)*_xlfn.NORM.S.INV(T26:U26)</f>
        <v>-1.1661729832564807</v>
      </c>
      <c r="AA26" s="51">
        <v>0.90088881840053925</v>
      </c>
      <c r="AB26" s="50">
        <f t="array" ref="AB26">MMULT($C$24:$D$24,TRANSPOSE(Z26:AA26))+SQRT($F$24)*_xlfn.NORM.S.INV($V26)</f>
        <v>1.4274742104786711</v>
      </c>
      <c r="AC26" s="8">
        <v>0.73973660746069014</v>
      </c>
      <c r="AD26" s="21">
        <v>1.7643562256733154</v>
      </c>
      <c r="AE26" s="21">
        <v>0.65243691261808356</v>
      </c>
      <c r="AF26" s="21">
        <v>0.58044339886089946</v>
      </c>
      <c r="AG26" s="21">
        <v>0.58044339886089946</v>
      </c>
      <c r="AH26" s="21">
        <v>10.945653744556303</v>
      </c>
      <c r="AI26" s="50">
        <v>-0.55126757190821052</v>
      </c>
      <c r="AJ26" s="60">
        <f t="shared" si="0"/>
        <v>1.9787417823868816</v>
      </c>
      <c r="AK26">
        <f t="shared" si="1"/>
        <v>-0.42907803057991489</v>
      </c>
    </row>
    <row r="27" spans="1:37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T27" s="36">
        <v>0.60614417802184184</v>
      </c>
      <c r="U27" s="36">
        <v>0.56432482906079606</v>
      </c>
      <c r="V27" s="36">
        <v>0.64861771104747334</v>
      </c>
      <c r="Y27" s="61">
        <f>Y26+dt</f>
        <v>2.1000000000000005</v>
      </c>
      <c r="Z27" s="51">
        <f t="array" ref="Z27:AA27">MMULT(Z26:AA26,TRANSPOSE($C$16:$D$17))+TRANSPOSE($F$16:$F$17)+SQRT($H$16)*_xlfn.NORM.S.INV(T27:U27)</f>
        <v>-0.80180075149843322</v>
      </c>
      <c r="AA27" s="51">
        <v>1.1628323247382033</v>
      </c>
      <c r="AB27" s="50">
        <f t="array" ref="AB27">MMULT($C$24:$D$24,TRANSPOSE(Z27:AA27))+SQRT($F$24)*_xlfn.NORM.S.INV($V27)</f>
        <v>-0.42020950477121694</v>
      </c>
      <c r="AC27" s="8">
        <v>4.4137275198355863E-2</v>
      </c>
      <c r="AD27" s="21">
        <v>0.98657129536300092</v>
      </c>
      <c r="AE27" s="21">
        <v>0.65253432617490081</v>
      </c>
      <c r="AF27" s="21">
        <v>0.58200805208338124</v>
      </c>
      <c r="AG27" s="21">
        <v>0.58200805208338102</v>
      </c>
      <c r="AH27" s="21">
        <v>10.970785151175775</v>
      </c>
      <c r="AI27" s="50">
        <v>0.91617223002802173</v>
      </c>
      <c r="AJ27" s="60">
        <f t="shared" si="0"/>
        <v>-1.3363817347992386</v>
      </c>
      <c r="AK27">
        <f t="shared" si="1"/>
        <v>1.4274742104786711</v>
      </c>
    </row>
    <row r="28" spans="1:37" ht="17.25" thickBot="1" x14ac:dyDescent="0.3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T28" s="36">
        <v>0.53089139705441557</v>
      </c>
      <c r="U28" s="36">
        <v>0.73499726278545829</v>
      </c>
      <c r="V28" s="36">
        <v>0.58195518510698285</v>
      </c>
      <c r="Y28" s="61">
        <f>Y27+dt</f>
        <v>2.2000000000000006</v>
      </c>
      <c r="Z28" s="51">
        <f t="array" ref="Z28:AA28">MMULT(Z27:AA27,TRANSPOSE($C$16:$D$17))+TRANSPOSE($F$16:$F$17)+SQRT($H$16)*_xlfn.NORM.S.INV(T28:U28)</f>
        <v>-0.60300672647417619</v>
      </c>
      <c r="AA28" s="51">
        <v>1.89082998240151</v>
      </c>
      <c r="AB28" s="50">
        <f t="array" ref="AB28">MMULT($C$24:$D$24,TRANSPOSE(Z28:AA28))+SQRT($F$24)*_xlfn.NORM.S.INV($V28)</f>
        <v>-0.39610886897586728</v>
      </c>
      <c r="AC28" s="8">
        <v>-0.20890151948105781</v>
      </c>
      <c r="AD28" s="21">
        <v>0.67223394954497118</v>
      </c>
      <c r="AE28" s="21">
        <v>0.6526141914005712</v>
      </c>
      <c r="AF28" s="21">
        <v>0.58329084485554428</v>
      </c>
      <c r="AG28" s="21">
        <v>0.5832908448555445</v>
      </c>
      <c r="AH28" s="21">
        <v>10.991389328807532</v>
      </c>
      <c r="AI28" s="50">
        <v>0.14279440473465596</v>
      </c>
      <c r="AJ28" s="60">
        <f t="shared" si="0"/>
        <v>-0.53890327371052327</v>
      </c>
      <c r="AK28">
        <f t="shared" si="1"/>
        <v>-0.42020950477121694</v>
      </c>
    </row>
    <row r="29" spans="1:37" x14ac:dyDescent="0.3">
      <c r="A29" s="9"/>
      <c r="B29" s="37" t="s">
        <v>18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9"/>
      <c r="Q29" s="9"/>
      <c r="T29" s="36">
        <v>0.85505396629527586</v>
      </c>
      <c r="U29" s="36">
        <v>0.82467837652524323</v>
      </c>
      <c r="V29" s="36">
        <v>0.85950932790246082</v>
      </c>
      <c r="Y29" s="61">
        <f>Y28+dt</f>
        <v>2.3000000000000007</v>
      </c>
      <c r="Z29" s="51">
        <f t="array" ref="Z29:AA29">MMULT(Z28:AA28,TRANSPOSE($C$16:$D$17))+TRANSPOSE($F$16:$F$17)+SQRT($H$16)*_xlfn.NORM.S.INV(T29:U29)</f>
        <v>0.64943469378182961</v>
      </c>
      <c r="AA29" s="51">
        <v>2.924172310646393</v>
      </c>
      <c r="AB29" s="50">
        <f t="array" ref="AB29">MMULT($C$24:$D$24,TRANSPOSE(Z29:AA29))+SQRT($F$24)*_xlfn.NORM.S.INV($V29)</f>
        <v>1.7275521459376206</v>
      </c>
      <c r="AC29" s="8">
        <v>1.0783304194556367</v>
      </c>
      <c r="AD29" s="21">
        <v>1.7645039145316306</v>
      </c>
      <c r="AE29" s="21">
        <v>0.65267964212843399</v>
      </c>
      <c r="AF29" s="21">
        <v>0.5843421124971504</v>
      </c>
      <c r="AG29" s="21">
        <v>0.5843421124971504</v>
      </c>
      <c r="AH29" s="21">
        <v>11.008274758356993</v>
      </c>
      <c r="AI29" s="50">
        <v>-0.1416781245265607</v>
      </c>
      <c r="AJ29" s="60">
        <f t="shared" si="0"/>
        <v>1.8692302704641812</v>
      </c>
      <c r="AK29">
        <f t="shared" si="1"/>
        <v>-0.39610886897586728</v>
      </c>
    </row>
    <row r="30" spans="1:37" x14ac:dyDescent="0.3">
      <c r="A30" s="9"/>
      <c r="B30" s="11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12"/>
      <c r="Q30" s="9"/>
      <c r="T30" s="36">
        <v>3.6395351434701517E-3</v>
      </c>
      <c r="U30" s="36">
        <v>0.16661584757138814</v>
      </c>
      <c r="V30" s="36">
        <v>2.6487579137514983E-2</v>
      </c>
      <c r="Y30" s="61">
        <f>Y29+dt</f>
        <v>2.4000000000000008</v>
      </c>
      <c r="Z30" s="51">
        <f t="array" ref="Z30:AA30">MMULT(Z29:AA29,TRANSPOSE($C$16:$D$17))+TRANSPOSE($F$16:$F$17)+SQRT($H$16)*_xlfn.NORM.S.INV(T30:U30)</f>
        <v>-1.7369477694368656</v>
      </c>
      <c r="AA30" s="51">
        <v>2.0565473268748224</v>
      </c>
      <c r="AB30" s="50">
        <f t="array" ref="AB30">MMULT($C$24:$D$24,TRANSPOSE(Z30:AA30))+SQRT($F$24)*_xlfn.NORM.S.INV($V30)</f>
        <v>-3.6720711399634167</v>
      </c>
      <c r="AC30" s="8">
        <v>-1.9611393323236024</v>
      </c>
      <c r="AD30" s="21">
        <v>-1.1187063354143347</v>
      </c>
      <c r="AE30" s="21">
        <v>0.65273326158361167</v>
      </c>
      <c r="AF30" s="21">
        <v>0.58520334661883644</v>
      </c>
      <c r="AG30" s="21">
        <v>0.58520334661883644</v>
      </c>
      <c r="AH30" s="21">
        <v>11.022107875644322</v>
      </c>
      <c r="AI30" s="50">
        <v>1.2547808109087997</v>
      </c>
      <c r="AJ30" s="60">
        <f t="shared" si="0"/>
        <v>-4.9268519508722166</v>
      </c>
      <c r="AK30">
        <f t="shared" si="1"/>
        <v>1.7275521459376206</v>
      </c>
    </row>
    <row r="31" spans="1:37" ht="18" x14ac:dyDescent="0.3">
      <c r="A31" s="9"/>
      <c r="B31" s="11"/>
      <c r="C31" s="10" t="s">
        <v>7</v>
      </c>
      <c r="D31" s="9"/>
      <c r="E31" s="10" t="s">
        <v>8</v>
      </c>
      <c r="F31" s="9"/>
      <c r="G31" s="9"/>
      <c r="H31" s="9"/>
      <c r="I31" s="9"/>
      <c r="J31" s="9"/>
      <c r="K31" s="9"/>
      <c r="L31" s="9"/>
      <c r="M31" s="9"/>
      <c r="N31" s="9"/>
      <c r="O31" s="9"/>
      <c r="P31" s="12"/>
      <c r="Q31" s="9"/>
      <c r="T31" s="36">
        <v>0.17319219589575696</v>
      </c>
      <c r="U31" s="36">
        <v>0.60161269949632734</v>
      </c>
      <c r="V31" s="36">
        <v>0.85118271610534157</v>
      </c>
      <c r="Y31" s="61">
        <f>Y30+dt</f>
        <v>2.5000000000000009</v>
      </c>
      <c r="Z31" s="51">
        <f t="array" ref="Z31:AA31">MMULT(Z30:AA30,TRANSPOSE($C$16:$D$17))+TRANSPOSE($F$16:$F$17)+SQRT($H$16)*_xlfn.NORM.S.INV(T31:U31)</f>
        <v>-2.4679185714098519</v>
      </c>
      <c r="AA31" s="51">
        <v>2.4140709246947356</v>
      </c>
      <c r="AB31" s="50">
        <f t="array" ref="AB31">MMULT($C$24:$D$24,TRANSPOSE(Z31:AA31))+SQRT($F$24)*_xlfn.NORM.S.INV($V31)</f>
        <v>-1.4263992006457229</v>
      </c>
      <c r="AC31" s="8">
        <v>-1.6509172164928374</v>
      </c>
      <c r="AD31" s="21">
        <v>-0.73985146209513042</v>
      </c>
      <c r="AE31" s="21">
        <v>0.65277717612547925</v>
      </c>
      <c r="AF31" s="21">
        <v>0.58590870071689394</v>
      </c>
      <c r="AG31" s="21">
        <v>0.58590870071689394</v>
      </c>
      <c r="AH31" s="21">
        <v>11.03343725271368</v>
      </c>
      <c r="AI31" s="50">
        <v>-2.0730099658650358</v>
      </c>
      <c r="AJ31" s="60">
        <f t="shared" si="0"/>
        <v>0.64661076521931293</v>
      </c>
      <c r="AK31">
        <f t="shared" si="1"/>
        <v>-3.6720711399634167</v>
      </c>
    </row>
    <row r="32" spans="1:37" x14ac:dyDescent="0.3">
      <c r="A32" s="9"/>
      <c r="B32" s="11"/>
      <c r="C32" s="5">
        <f t="array" ref="C32:C33">$K$16:$K$17+MMULT($J$24:$J$25,$L$24-$H$24)</f>
        <v>18.288702257342511</v>
      </c>
      <c r="D32" s="9"/>
      <c r="E32" s="1">
        <f t="array" ref="E32:F33">$M$16:$N$17-MMULT(MMULT($J$24:$J$25,$C$24:$D$24),$M$16:$N$17)</f>
        <v>0.65297498307137425</v>
      </c>
      <c r="F32" s="2">
        <v>0.58908587017594627</v>
      </c>
      <c r="G32" s="9"/>
      <c r="H32" s="9"/>
      <c r="I32" s="9"/>
      <c r="J32" s="9"/>
      <c r="K32" s="9"/>
      <c r="L32" s="9"/>
      <c r="M32" s="9"/>
      <c r="N32" s="9"/>
      <c r="O32" s="9"/>
      <c r="P32" s="12"/>
      <c r="Q32" s="9"/>
      <c r="T32" s="36">
        <v>0.32688466500922086</v>
      </c>
      <c r="U32" s="36">
        <v>0.28727632951605753</v>
      </c>
      <c r="V32" s="36">
        <v>0.58715994014399064</v>
      </c>
      <c r="Y32" s="61">
        <f>Y31+dt</f>
        <v>2.600000000000001</v>
      </c>
      <c r="Z32" s="51">
        <f t="array" ref="Z32:AA32">MMULT(Z31:AA31,TRANSPOSE($C$16:$D$17))+TRANSPOSE($F$16:$F$17)+SQRT($H$16)*_xlfn.NORM.S.INV(T32:U32)</f>
        <v>-2.6700434332606591</v>
      </c>
      <c r="AA32" s="51">
        <v>1.9527116765391477</v>
      </c>
      <c r="AB32" s="50">
        <f t="array" ref="AB32">MMULT($C$24:$D$24,TRANSPOSE(Z32:AA32))+SQRT($F$24)*_xlfn.NORM.S.INV($V32)</f>
        <v>-2.4497981349759845</v>
      </c>
      <c r="AC32" s="8">
        <v>-2.1981238436482942</v>
      </c>
      <c r="AD32" s="21">
        <v>-1.1649928692793077</v>
      </c>
      <c r="AE32" s="21">
        <v>0.65281313403399466</v>
      </c>
      <c r="AF32" s="21">
        <v>0.5864862556043362</v>
      </c>
      <c r="AG32" s="21">
        <v>0.5864862556043362</v>
      </c>
      <c r="AH32" s="21">
        <v>11.042713922625284</v>
      </c>
      <c r="AI32" s="50">
        <v>-1.7249023627023505</v>
      </c>
      <c r="AJ32" s="60">
        <f t="shared" si="0"/>
        <v>-0.724895772273634</v>
      </c>
      <c r="AK32">
        <f t="shared" si="1"/>
        <v>-1.4263992006457229</v>
      </c>
    </row>
    <row r="33" spans="1:37" x14ac:dyDescent="0.3">
      <c r="A33" s="9"/>
      <c r="B33" s="11"/>
      <c r="C33" s="6">
        <v>9.0271394105972007</v>
      </c>
      <c r="D33" s="9"/>
      <c r="E33" s="3">
        <v>0.58908587017594627</v>
      </c>
      <c r="F33" s="4">
        <v>11.084468856916789</v>
      </c>
      <c r="G33" s="9"/>
      <c r="H33" s="9"/>
      <c r="I33" s="9"/>
      <c r="J33" s="9"/>
      <c r="K33" s="9"/>
      <c r="L33" s="9"/>
      <c r="M33" s="9"/>
      <c r="N33" s="9"/>
      <c r="O33" s="9"/>
      <c r="P33" s="12"/>
      <c r="Q33" s="9"/>
      <c r="T33" s="36">
        <v>0.92586183146452616</v>
      </c>
      <c r="U33" s="36">
        <v>0.81838757448231547</v>
      </c>
      <c r="V33" s="36">
        <v>0.27958921051483565</v>
      </c>
      <c r="Y33" s="61">
        <f>Y32+dt</f>
        <v>2.7000000000000011</v>
      </c>
      <c r="Z33" s="51">
        <f t="array" ref="Z33:AA33">MMULT(Z32:AA32,TRANSPOSE($C$16:$D$17))+TRANSPOSE($F$16:$F$17)+SQRT($H$16)*_xlfn.NORM.S.INV(T33:U33)</f>
        <v>-1.0241256226569946</v>
      </c>
      <c r="AA33" s="51">
        <v>2.9619490297206763</v>
      </c>
      <c r="AB33" s="50">
        <f t="array" ref="AB33">MMULT($C$24:$D$24,TRANSPOSE(Z33:AA33))+SQRT($F$24)*_xlfn.NORM.S.INV($V33)</f>
        <v>-1.6081878882352414</v>
      </c>
      <c r="AC33" s="8">
        <v>-1.8534321304510277</v>
      </c>
      <c r="AD33" s="21">
        <v>-0.75034429115765311</v>
      </c>
      <c r="AE33" s="21">
        <v>0.65284257138262736</v>
      </c>
      <c r="AF33" s="21">
        <v>0.58695907744861775</v>
      </c>
      <c r="AG33" s="21">
        <v>0.58695907744861775</v>
      </c>
      <c r="AH33" s="21">
        <v>11.050308373444153</v>
      </c>
      <c r="AI33" s="50">
        <v>-2.314623130576225</v>
      </c>
      <c r="AJ33" s="60">
        <f t="shared" si="0"/>
        <v>0.70643524234098365</v>
      </c>
      <c r="AK33">
        <f t="shared" si="1"/>
        <v>-2.4497981349759845</v>
      </c>
    </row>
    <row r="34" spans="1:37" ht="17.25" thickBot="1" x14ac:dyDescent="0.35">
      <c r="A34" s="9"/>
      <c r="B34" s="3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4"/>
      <c r="Q34" s="9"/>
      <c r="T34" s="36">
        <v>0.70936855314609204</v>
      </c>
      <c r="U34" s="36">
        <v>0.62009082047853459</v>
      </c>
      <c r="V34" s="36">
        <v>0.47635572122590053</v>
      </c>
      <c r="Y34" s="61">
        <f>Y33+dt</f>
        <v>2.8000000000000012</v>
      </c>
      <c r="Z34" s="51">
        <f t="array" ref="Z34:AA34">MMULT(Z33:AA33,TRANSPOSE($C$16:$D$17))+TRANSPOSE($F$16:$F$17)+SQRT($H$16)*_xlfn.NORM.S.INV(T34:U34)</f>
        <v>-0.17138975600522521</v>
      </c>
      <c r="AA34" s="51">
        <v>3.3676683535302097</v>
      </c>
      <c r="AB34" s="50">
        <f t="array" ref="AB34">MMULT($C$24:$D$24,TRANSPOSE(Z34:AA34))+SQRT($F$24)*_xlfn.NORM.S.INV($V34)</f>
        <v>-0.23069191382276888</v>
      </c>
      <c r="AC34" s="8">
        <v>-0.82004608547743496</v>
      </c>
      <c r="AD34" s="21">
        <v>0.2468370235232441</v>
      </c>
      <c r="AE34" s="21">
        <v>0.65286666688535067</v>
      </c>
      <c r="AF34" s="21">
        <v>0.58734609871847709</v>
      </c>
      <c r="AG34" s="21">
        <v>0.58734609871847709</v>
      </c>
      <c r="AH34" s="21">
        <v>11.056524697919457</v>
      </c>
      <c r="AI34" s="50">
        <v>-1.9284665595667931</v>
      </c>
      <c r="AJ34" s="60">
        <f t="shared" si="0"/>
        <v>1.6977746457440244</v>
      </c>
      <c r="AK34">
        <f t="shared" si="1"/>
        <v>-1.6081878882352414</v>
      </c>
    </row>
    <row r="35" spans="1:37" x14ac:dyDescent="0.3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T35" s="36">
        <v>6.6764140558212337E-2</v>
      </c>
      <c r="U35" s="36">
        <v>0.65099807152837941</v>
      </c>
      <c r="V35" s="36">
        <v>0.17874726962128018</v>
      </c>
      <c r="Y35" s="61">
        <f>Y34+dt</f>
        <v>2.9000000000000012</v>
      </c>
      <c r="Z35" s="51">
        <f t="array" ref="Z35:AA35">MMULT(Z34:AA34,TRANSPOSE($C$16:$D$17))+TRANSPOSE($F$16:$F$17)+SQRT($H$16)*_xlfn.NORM.S.INV(T35:U35)</f>
        <v>-1.3299554735542571</v>
      </c>
      <c r="AA35" s="51">
        <v>3.8556848078417296</v>
      </c>
      <c r="AB35" s="50">
        <f t="array" ref="AB35">MMULT($C$24:$D$24,TRANSPOSE(Z35:AA35))+SQRT($F$24)*_xlfn.NORM.S.INV($V35)</f>
        <v>-2.2501051663861271</v>
      </c>
      <c r="AC35" s="8">
        <v>-1.7451441434998625</v>
      </c>
      <c r="AD35" s="21">
        <v>-0.60806126537676075</v>
      </c>
      <c r="AE35" s="21">
        <v>0.65288638741047977</v>
      </c>
      <c r="AF35" s="21">
        <v>0.58766284922453882</v>
      </c>
      <c r="AG35" s="21">
        <v>0.58766284922453882</v>
      </c>
      <c r="AH35" s="21">
        <v>11.061612335415557</v>
      </c>
      <c r="AI35" s="50">
        <v>-0.79536238312511054</v>
      </c>
      <c r="AJ35" s="60">
        <f t="shared" si="0"/>
        <v>-1.4547427832610165</v>
      </c>
      <c r="AK35">
        <f t="shared" si="1"/>
        <v>-0.23069191382276888</v>
      </c>
    </row>
    <row r="36" spans="1:37" x14ac:dyDescent="0.3">
      <c r="T36" s="36">
        <v>8.2886759508850827E-2</v>
      </c>
      <c r="U36" s="36">
        <v>0.81370278044810151</v>
      </c>
      <c r="V36" s="36">
        <v>0.4967842492921235</v>
      </c>
      <c r="Y36" s="61">
        <f>Y35+dt</f>
        <v>3.0000000000000013</v>
      </c>
      <c r="Z36" s="51">
        <f t="array" ref="Z36:AA36">MMULT(Z35:AA35,TRANSPOSE($C$16:$D$17))+TRANSPOSE($F$16:$F$17)+SQRT($H$16)*_xlfn.NORM.S.INV(T36:U36)</f>
        <v>-2.3252998346673177</v>
      </c>
      <c r="AA36" s="51">
        <v>4.8473089246617862</v>
      </c>
      <c r="AB36" s="50">
        <f t="array" ref="AB36">MMULT($C$24:$D$24,TRANSPOSE(Z36:AA36))+SQRT($F$24)*_xlfn.NORM.S.INV($V36)</f>
        <v>-2.3333606136080678</v>
      </c>
      <c r="AC36" s="8">
        <v>-2.1502978154074488</v>
      </c>
      <c r="AD36" s="21">
        <v>-0.9181374416275192</v>
      </c>
      <c r="AE36" s="21">
        <v>0.6529025256476817</v>
      </c>
      <c r="AF36" s="21">
        <v>0.58792206112524337</v>
      </c>
      <c r="AG36" s="21">
        <v>0.58792206112524359</v>
      </c>
      <c r="AH36" s="21">
        <v>11.06577578949214</v>
      </c>
      <c r="AI36" s="50">
        <v>-1.8059502700375385</v>
      </c>
      <c r="AJ36" s="60">
        <f t="shared" si="0"/>
        <v>-0.52741034357052929</v>
      </c>
      <c r="AK36">
        <f t="shared" si="1"/>
        <v>-2.2501051663861271</v>
      </c>
    </row>
    <row r="37" spans="1:37" x14ac:dyDescent="0.3">
      <c r="T37" s="36">
        <v>0.72673829791300049</v>
      </c>
      <c r="U37" s="36">
        <v>0.44925595167041255</v>
      </c>
      <c r="V37" s="36">
        <v>0.43748468197792267</v>
      </c>
      <c r="Y37" s="61">
        <f>Y36+dt</f>
        <v>3.1000000000000014</v>
      </c>
      <c r="Z37" s="51">
        <f t="array" ref="Z37:AA37">MMULT(Z36:AA36,TRANSPOSE($C$16:$D$17))+TRANSPOSE($F$16:$F$17)+SQRT($H$16)*_xlfn.NORM.S.INV(T37:U37)</f>
        <v>-1.2325910615783124</v>
      </c>
      <c r="AA37" s="51">
        <v>4.8197675184571604</v>
      </c>
      <c r="AB37" s="50">
        <f t="array" ref="AB37">MMULT($C$24:$D$24,TRANSPOSE(Z37:AA37))+SQRT($F$24)*_xlfn.NORM.S.INV($V37)</f>
        <v>-1.389940620939496</v>
      </c>
      <c r="AC37" s="8">
        <v>-1.6857157480556482</v>
      </c>
      <c r="AD37" s="21">
        <v>-0.41694659518622246</v>
      </c>
      <c r="AE37" s="21">
        <v>0.65291573121302049</v>
      </c>
      <c r="AF37" s="21">
        <v>0.58813416853504297</v>
      </c>
      <c r="AG37" s="21">
        <v>0.58813416853504319</v>
      </c>
      <c r="AH37" s="21">
        <v>11.069182652594019</v>
      </c>
      <c r="AI37" s="50">
        <v>-2.2421115595702008</v>
      </c>
      <c r="AJ37" s="60">
        <f t="shared" si="0"/>
        <v>0.85217093863070481</v>
      </c>
      <c r="AK37">
        <f t="shared" si="1"/>
        <v>-2.3333606136080678</v>
      </c>
    </row>
    <row r="38" spans="1:37" x14ac:dyDescent="0.3">
      <c r="T38" s="36">
        <v>0.15981009997581652</v>
      </c>
      <c r="U38" s="36">
        <v>0.81313714852285324</v>
      </c>
      <c r="V38" s="36">
        <v>0.3125332373202141</v>
      </c>
      <c r="Y38" s="61">
        <f>Y37+dt</f>
        <v>3.2000000000000015</v>
      </c>
      <c r="Z38" s="51">
        <f t="array" ref="Z38:AA38">MMULT(Z37:AA37,TRANSPOSE($C$16:$D$17))+TRANSPOSE($F$16:$F$17)+SQRT($H$16)*_xlfn.NORM.S.INV(T38:U38)</f>
        <v>-1.7408529763806602</v>
      </c>
      <c r="AA38" s="51">
        <v>5.8092837515554629</v>
      </c>
      <c r="AB38" s="50">
        <f t="array" ref="AB38">MMULT($C$24:$D$24,TRANSPOSE(Z38:AA38))+SQRT($F$24)*_xlfn.NORM.S.INV($V38)</f>
        <v>-2.229535505358843</v>
      </c>
      <c r="AC38" s="8">
        <v>-2.0552612084549464</v>
      </c>
      <c r="AD38" s="21">
        <v>-0.71235066630098809</v>
      </c>
      <c r="AE38" s="21">
        <v>0.65292653628983555</v>
      </c>
      <c r="AF38" s="21">
        <v>0.5883077193673818</v>
      </c>
      <c r="AG38" s="21">
        <v>0.58830771936738202</v>
      </c>
      <c r="AH38" s="21">
        <v>11.07197022106028</v>
      </c>
      <c r="AI38" s="50">
        <v>-1.7274104075742704</v>
      </c>
      <c r="AJ38" s="60">
        <f t="shared" si="0"/>
        <v>-0.50212509778457259</v>
      </c>
      <c r="AK38">
        <f t="shared" si="1"/>
        <v>-1.389940620939496</v>
      </c>
    </row>
    <row r="39" spans="1:37" x14ac:dyDescent="0.3">
      <c r="T39" s="36">
        <v>8.0136159646648109E-2</v>
      </c>
      <c r="U39" s="36">
        <v>0.81312760052514299</v>
      </c>
      <c r="V39" s="36">
        <v>0.36335823738480577</v>
      </c>
      <c r="Y39" s="61">
        <f>Y38+dt</f>
        <v>3.3000000000000016</v>
      </c>
      <c r="Z39" s="51">
        <f t="array" ref="Z39:AA39">MMULT(Z38:AA38,TRANSPOSE($C$16:$D$17))+TRANSPOSE($F$16:$F$17)+SQRT($H$16)*_xlfn.NORM.S.INV(T39:U39)</f>
        <v>-2.559080875431798</v>
      </c>
      <c r="AA39" s="51">
        <v>6.798764437014202</v>
      </c>
      <c r="AB39" s="50">
        <f t="array" ref="AB39">MMULT($C$24:$D$24,TRANSPOSE(Z39:AA39))+SQRT($F$24)*_xlfn.NORM.S.INV($V39)</f>
        <v>-2.908577539550083</v>
      </c>
      <c r="AC39" s="8">
        <v>-2.6371448001359412</v>
      </c>
      <c r="AD39" s="21">
        <v>-1.1725661629687822</v>
      </c>
      <c r="AE39" s="21">
        <v>0.65293537673503987</v>
      </c>
      <c r="AF39" s="21">
        <v>0.58844971434342219</v>
      </c>
      <c r="AG39" s="21">
        <v>0.58844971434342219</v>
      </c>
      <c r="AH39" s="21">
        <v>11.074250940272334</v>
      </c>
      <c r="AI39" s="50">
        <v>-2.1264962750850454</v>
      </c>
      <c r="AJ39" s="60">
        <f t="shared" si="0"/>
        <v>-0.78208126446503767</v>
      </c>
      <c r="AK39">
        <f t="shared" si="1"/>
        <v>-2.229535505358843</v>
      </c>
    </row>
    <row r="40" spans="1:37" x14ac:dyDescent="0.3">
      <c r="T40" s="36">
        <v>0.12480569757240334</v>
      </c>
      <c r="U40" s="36">
        <v>1.837298287405531E-2</v>
      </c>
      <c r="V40" s="36">
        <v>0.7001885405330287</v>
      </c>
      <c r="Y40" s="61">
        <f>Y39+dt</f>
        <v>3.4000000000000017</v>
      </c>
      <c r="Z40" s="51">
        <f t="array" ref="Z40:AA40">MMULT(Z39:AA39,TRANSPOSE($C$16:$D$17))+TRANSPOSE($F$16:$F$17)+SQRT($H$16)*_xlfn.NORM.S.INV(T40:U40)</f>
        <v>-3.0254982118429794</v>
      </c>
      <c r="AA40" s="51">
        <v>4.8101890838308776</v>
      </c>
      <c r="AB40" s="50">
        <f t="array" ref="AB40">MMULT($C$24:$D$24,TRANSPOSE(Z40:AA40))+SQRT($F$24)*_xlfn.NORM.S.INV($V40)</f>
        <v>-2.5005553598772527</v>
      </c>
      <c r="AC40" s="8">
        <v>-2.588654509871267</v>
      </c>
      <c r="AD40" s="21">
        <v>-1.0231610338550654</v>
      </c>
      <c r="AE40" s="21">
        <v>0.6529426094325419</v>
      </c>
      <c r="AF40" s="21">
        <v>0.58856588572220825</v>
      </c>
      <c r="AG40" s="21">
        <v>0.58856588572220825</v>
      </c>
      <c r="AH40" s="21">
        <v>11.076116881609678</v>
      </c>
      <c r="AI40" s="50">
        <v>-2.7544014164328194</v>
      </c>
      <c r="AJ40" s="60">
        <f t="shared" si="0"/>
        <v>0.25384605655556669</v>
      </c>
      <c r="AK40">
        <f t="shared" si="1"/>
        <v>-2.908577539550083</v>
      </c>
    </row>
    <row r="41" spans="1:37" x14ac:dyDescent="0.3">
      <c r="T41" s="36">
        <v>0.93573540699012858</v>
      </c>
      <c r="U41" s="36">
        <v>0.1115362219634598</v>
      </c>
      <c r="V41" s="36">
        <v>0.56388760223887935</v>
      </c>
      <c r="Y41" s="61">
        <f>Y40+dt</f>
        <v>3.5000000000000018</v>
      </c>
      <c r="Z41" s="51">
        <f t="array" ref="Z41:AA41">MMULT(Z40:AA40,TRANSPOSE($C$16:$D$17))+TRANSPOSE($F$16:$F$17)+SQRT($H$16)*_xlfn.NORM.S.INV(T41:U41)</f>
        <v>-1.0195517557409755</v>
      </c>
      <c r="AA41" s="51">
        <v>3.6917902391415822</v>
      </c>
      <c r="AB41" s="50">
        <f t="array" ref="AB41">MMULT($C$24:$D$24,TRANSPOSE(Z41:AA41))+SQRT($F$24)*_xlfn.NORM.S.INV($V41)</f>
        <v>-0.85871858077766894</v>
      </c>
      <c r="AC41" s="8">
        <v>-1.4946043483857623</v>
      </c>
      <c r="AD41" s="21">
        <v>5.5414144713271662E-2</v>
      </c>
      <c r="AE41" s="21">
        <v>0.65294852654756408</v>
      </c>
      <c r="AF41" s="21">
        <v>0.58866092625313393</v>
      </c>
      <c r="AG41" s="21">
        <v>0.58866092625313415</v>
      </c>
      <c r="AH41" s="21">
        <v>11.077643419877814</v>
      </c>
      <c r="AI41" s="50">
        <v>-2.6909706132567734</v>
      </c>
      <c r="AJ41" s="60">
        <f t="shared" si="0"/>
        <v>1.8322520324791045</v>
      </c>
      <c r="AK41">
        <f t="shared" si="1"/>
        <v>-2.5005553598772527</v>
      </c>
    </row>
    <row r="42" spans="1:37" x14ac:dyDescent="0.3">
      <c r="T42" s="36">
        <v>0.92537454385048146</v>
      </c>
      <c r="U42" s="36">
        <v>0.99729463727440049</v>
      </c>
      <c r="V42" s="36">
        <v>0.12259119504068228</v>
      </c>
      <c r="Y42" s="61">
        <f>Y41+dt</f>
        <v>3.6000000000000019</v>
      </c>
      <c r="Z42" s="51">
        <f t="array" ref="Z42:AA42">MMULT(Z41:AA41,TRANSPOSE($C$16:$D$17))+TRANSPOSE($F$16:$F$17)+SQRT($H$16)*_xlfn.NORM.S.INV(T42:U42)</f>
        <v>0.7968097107024763</v>
      </c>
      <c r="AA42" s="51">
        <v>6.5732966949742</v>
      </c>
      <c r="AB42" s="50">
        <f t="array" ref="AB42">MMULT($C$24:$D$24,TRANSPOSE(Z42:AA42))+SQRT($F$24)*_xlfn.NORM.S.INV($V42)</f>
        <v>-0.36532096157374006</v>
      </c>
      <c r="AC42" s="8">
        <v>-0.75531182918106876</v>
      </c>
      <c r="AD42" s="21">
        <v>0.71700450690554163</v>
      </c>
      <c r="AE42" s="21">
        <v>0.6529533672262875</v>
      </c>
      <c r="AF42" s="21">
        <v>0.58873867709525185</v>
      </c>
      <c r="AG42" s="21">
        <v>0.58873867709525207</v>
      </c>
      <c r="AH42" s="21">
        <v>11.078892251662701</v>
      </c>
      <c r="AI42" s="50">
        <v>-1.4890629339144352</v>
      </c>
      <c r="AJ42" s="60">
        <f t="shared" si="0"/>
        <v>1.1237419723406952</v>
      </c>
      <c r="AK42">
        <f t="shared" si="1"/>
        <v>-0.85871858077766894</v>
      </c>
    </row>
    <row r="43" spans="1:37" x14ac:dyDescent="0.3">
      <c r="T43" s="36">
        <v>9.68074771959061E-2</v>
      </c>
      <c r="U43" s="36">
        <v>0.19377525052951849</v>
      </c>
      <c r="V43" s="36">
        <v>6.0109016037262042E-2</v>
      </c>
      <c r="Y43" s="61">
        <f>Y42+dt</f>
        <v>3.700000000000002</v>
      </c>
      <c r="Z43" s="51">
        <f t="array" ref="Z43:AA43">MMULT(Z42:AA42,TRANSPOSE($C$16:$D$17))+TRANSPOSE($F$16:$F$17)+SQRT($H$16)*_xlfn.NORM.S.INV(T43:U43)</f>
        <v>0.15918018362108421</v>
      </c>
      <c r="AA43" s="51">
        <v>5.8092286302882936</v>
      </c>
      <c r="AB43" s="50">
        <f t="array" ref="AB43">MMULT($C$24:$D$24,TRANSPOSE(Z43:AA43))+SQRT($F$24)*_xlfn.NORM.S.INV($V43)</f>
        <v>-1.394678905796209</v>
      </c>
      <c r="AC43" s="8">
        <v>-1.1479081305735093</v>
      </c>
      <c r="AD43" s="21">
        <v>0.2983263242000031</v>
      </c>
      <c r="AE43" s="21">
        <v>0.65295732719262456</v>
      </c>
      <c r="AF43" s="21">
        <v>0.58880228196040929</v>
      </c>
      <c r="AG43" s="21">
        <v>0.58880228196040951</v>
      </c>
      <c r="AH43" s="21">
        <v>11.079913871173414</v>
      </c>
      <c r="AI43" s="50">
        <v>-0.68361137849051457</v>
      </c>
      <c r="AJ43" s="60">
        <f t="shared" si="0"/>
        <v>-0.71106752730569445</v>
      </c>
      <c r="AK43">
        <f t="shared" si="1"/>
        <v>-0.36532096157374006</v>
      </c>
    </row>
    <row r="44" spans="1:37" x14ac:dyDescent="0.3">
      <c r="T44" s="36">
        <v>0.19465293868962963</v>
      </c>
      <c r="U44" s="36">
        <v>0.88424510513513388</v>
      </c>
      <c r="V44" s="36">
        <v>0.40523785214302255</v>
      </c>
      <c r="Y44" s="61">
        <f>Y43+dt</f>
        <v>3.800000000000002</v>
      </c>
      <c r="Z44" s="51">
        <f t="array" ref="Z44:AA44">MMULT(Z43:AA43,TRANSPOSE($C$16:$D$17))+TRANSPOSE($F$16:$F$17)+SQRT($H$16)*_xlfn.NORM.S.INV(T44:U44)</f>
        <v>-0.11577379548186006</v>
      </c>
      <c r="AA44" s="51">
        <v>7.1057073714351988</v>
      </c>
      <c r="AB44" s="50">
        <f t="array" ref="AB44">MMULT($C$24:$D$24,TRANSPOSE(Z44:AA44))+SQRT($F$24)*_xlfn.NORM.S.INV($V44)</f>
        <v>-0.35558618173894863</v>
      </c>
      <c r="AC44" s="8">
        <v>-0.62020004206876767</v>
      </c>
      <c r="AD44" s="21">
        <v>0.74732144715786442</v>
      </c>
      <c r="AE44" s="21">
        <v>0.65296056661605695</v>
      </c>
      <c r="AF44" s="21">
        <v>0.58885431348620432</v>
      </c>
      <c r="AG44" s="21">
        <v>0.58885431348620432</v>
      </c>
      <c r="AH44" s="21">
        <v>11.080749600040896</v>
      </c>
      <c r="AI44" s="50">
        <v>-1.118075498153509</v>
      </c>
      <c r="AJ44" s="60">
        <f t="shared" si="0"/>
        <v>0.76248931641456041</v>
      </c>
      <c r="AK44">
        <f t="shared" si="1"/>
        <v>-1.394678905796209</v>
      </c>
    </row>
    <row r="45" spans="1:37" x14ac:dyDescent="0.3">
      <c r="T45" s="36">
        <v>0.96964625381457137</v>
      </c>
      <c r="U45" s="36">
        <v>3.4179284516615338E-2</v>
      </c>
      <c r="V45" s="36">
        <v>0.93901303377550382</v>
      </c>
      <c r="Y45" s="61">
        <f>Y44+dt</f>
        <v>3.9000000000000021</v>
      </c>
      <c r="Z45" s="51">
        <f t="array" ref="Z45:AA45">MMULT(Z44:AA44,TRANSPOSE($C$16:$D$17))+TRANSPOSE($F$16:$F$17)+SQRT($H$16)*_xlfn.NORM.S.INV(T45:U45)</f>
        <v>2.4754168378983477</v>
      </c>
      <c r="AA45" s="51">
        <v>5.3830715669215294</v>
      </c>
      <c r="AB45" s="50">
        <f t="array" ref="AB45">MMULT($C$24:$D$24,TRANSPOSE(Z45:AA45))+SQRT($F$24)*_xlfn.NORM.S.INV($V45)</f>
        <v>4.0219579777208345</v>
      </c>
      <c r="AC45" s="8">
        <v>2.436893193431457</v>
      </c>
      <c r="AD45" s="21">
        <v>3.4370642799970876</v>
      </c>
      <c r="AE45" s="21">
        <v>0.652963216559314</v>
      </c>
      <c r="AF45" s="21">
        <v>0.58889687679841174</v>
      </c>
      <c r="AG45" s="21">
        <v>0.58889687679841174</v>
      </c>
      <c r="AH45" s="21">
        <v>11.081433250734664</v>
      </c>
      <c r="AI45" s="50">
        <v>-0.54546789735298118</v>
      </c>
      <c r="AJ45" s="60">
        <f t="shared" si="0"/>
        <v>4.5674258750738161</v>
      </c>
      <c r="AK45">
        <f t="shared" si="1"/>
        <v>-0.35558618173894863</v>
      </c>
    </row>
    <row r="46" spans="1:37" x14ac:dyDescent="0.3">
      <c r="T46" s="36">
        <v>1.4627310597863707E-2</v>
      </c>
      <c r="U46" s="36">
        <v>0.70289205775675245</v>
      </c>
      <c r="V46" s="36">
        <v>0.21826083081246084</v>
      </c>
      <c r="Y46" s="61">
        <f>Y45+dt</f>
        <v>4.0000000000000018</v>
      </c>
      <c r="Z46" s="51">
        <f t="array" ref="Z46:AA46">MMULT(Z45:AA45,TRANSPOSE($C$16:$D$17))+TRANSPOSE($F$16:$F$17)+SQRT($H$16)*_xlfn.NORM.S.INV(T46:U46)</f>
        <v>0.83868567494868618</v>
      </c>
      <c r="AA46" s="51">
        <v>6.0158082278910063</v>
      </c>
      <c r="AB46" s="50">
        <f t="array" ref="AB46">MMULT($C$24:$D$24,TRANSPOSE(Z46:AA46))+SQRT($F$24)*_xlfn.NORM.S.INV($V46)</f>
        <v>6.0605351227527304E-2</v>
      </c>
      <c r="AC46" s="8">
        <v>1.0045375176014859</v>
      </c>
      <c r="AD46" s="21">
        <v>1.8351734458204665</v>
      </c>
      <c r="AE46" s="21">
        <v>0.65296538426042772</v>
      </c>
      <c r="AF46" s="21">
        <v>0.58893169435121373</v>
      </c>
      <c r="AG46" s="21">
        <v>0.58893169435121373</v>
      </c>
      <c r="AH46" s="21">
        <v>11.081992489264133</v>
      </c>
      <c r="AI46" s="50">
        <v>2.7805996214311657</v>
      </c>
      <c r="AJ46" s="60">
        <f t="shared" si="0"/>
        <v>-2.7199942702036384</v>
      </c>
      <c r="AK46">
        <f t="shared" si="1"/>
        <v>4.0219579777208345</v>
      </c>
    </row>
    <row r="47" spans="1:37" x14ac:dyDescent="0.3">
      <c r="T47" s="36">
        <v>0.65736047648104035</v>
      </c>
      <c r="U47" s="36">
        <v>0.64334637476943246</v>
      </c>
      <c r="V47" s="36">
        <v>0.47659354716909874</v>
      </c>
      <c r="Y47" s="61">
        <f>Y46+dt</f>
        <v>4.1000000000000014</v>
      </c>
      <c r="Z47" s="51">
        <f t="array" ref="Z47:AA47">MMULT(Z46:AA46,TRANSPOSE($C$16:$D$17))+TRANSPOSE($F$16:$F$17)+SQRT($H$16)*_xlfn.NORM.S.INV(T47:U47)</f>
        <v>1.8505365095747739</v>
      </c>
      <c r="AA47" s="51">
        <v>6.4832262232958051</v>
      </c>
      <c r="AB47" s="50">
        <f t="array" ref="AB47">MMULT($C$24:$D$24,TRANSPOSE(Z47:AA47))+SQRT($F$24)*_xlfn.NORM.S.INV($V47)</f>
        <v>1.7918315316127464</v>
      </c>
      <c r="AC47" s="8">
        <v>1.5823011977605967</v>
      </c>
      <c r="AD47" s="21">
        <v>2.1907738589562413</v>
      </c>
      <c r="AE47" s="21">
        <v>0.65296715745868217</v>
      </c>
      <c r="AF47" s="21">
        <v>0.58896017541046319</v>
      </c>
      <c r="AG47" s="21">
        <v>0.58896017541046319</v>
      </c>
      <c r="AH47" s="21">
        <v>11.082449951216816</v>
      </c>
      <c r="AI47" s="50">
        <v>1.1880548621835325</v>
      </c>
      <c r="AJ47" s="60">
        <f t="shared" si="0"/>
        <v>0.60377666942921393</v>
      </c>
      <c r="AK47">
        <f t="shared" si="1"/>
        <v>6.0605351227527304E-2</v>
      </c>
    </row>
    <row r="48" spans="1:37" x14ac:dyDescent="0.3">
      <c r="T48" s="36">
        <v>4.1951555223985304E-2</v>
      </c>
      <c r="U48" s="36">
        <v>0.47172435260955337</v>
      </c>
      <c r="V48" s="36">
        <v>0.68391763756921609</v>
      </c>
      <c r="Y48" s="61">
        <f>Y47+dt</f>
        <v>4.2000000000000011</v>
      </c>
      <c r="Z48" s="51">
        <f t="array" ref="Z48:AA48">MMULT(Z47:AA47,TRANSPOSE($C$16:$D$17))+TRANSPOSE($F$16:$F$17)+SQRT($H$16)*_xlfn.NORM.S.INV(T48:U48)</f>
        <v>0.77538419383426982</v>
      </c>
      <c r="AA48" s="51">
        <v>6.512290240315405</v>
      </c>
      <c r="AB48" s="50">
        <f t="array" ref="AB48">MMULT($C$24:$D$24,TRANSPOSE(Z48:AA48))+SQRT($F$24)*_xlfn.NORM.S.INV($V48)</f>
        <v>1.2540664020620234</v>
      </c>
      <c r="AC48" s="8">
        <v>1.4440009103338525</v>
      </c>
      <c r="AD48" s="21">
        <v>1.8684160294548127</v>
      </c>
      <c r="AE48" s="21">
        <v>0.65296860793671252</v>
      </c>
      <c r="AF48" s="21">
        <v>0.58898347294677933</v>
      </c>
      <c r="AG48" s="21">
        <v>0.58898347294677933</v>
      </c>
      <c r="AH48" s="21">
        <v>11.082824155573562</v>
      </c>
      <c r="AI48" s="50">
        <v>1.8013785836562208</v>
      </c>
      <c r="AJ48" s="60">
        <f t="shared" si="0"/>
        <v>-0.54731218159419748</v>
      </c>
      <c r="AK48">
        <f t="shared" si="1"/>
        <v>1.7918315316127464</v>
      </c>
    </row>
    <row r="49" spans="20:37" x14ac:dyDescent="0.3">
      <c r="T49" s="36">
        <v>7.7079838665392586E-3</v>
      </c>
      <c r="U49" s="36">
        <v>0.98362823975193614</v>
      </c>
      <c r="V49" s="36">
        <v>0.94347153980104559</v>
      </c>
      <c r="Y49" s="61">
        <f>Y48+dt</f>
        <v>4.3000000000000007</v>
      </c>
      <c r="Z49" s="51">
        <f t="array" ref="Z49:AA49">MMULT(Z48:AA48,TRANSPOSE($C$16:$D$17))+TRANSPOSE($F$16:$F$17)+SQRT($H$16)*_xlfn.NORM.S.INV(T49:U49)</f>
        <v>-0.99084336621547386</v>
      </c>
      <c r="AA49" s="51">
        <v>8.7475044039446743</v>
      </c>
      <c r="AB49" s="50">
        <f t="array" ref="AB49">MMULT($C$24:$D$24,TRANSPOSE(Z49:AA49))+SQRT($F$24)*_xlfn.NORM.S.INV($V49)</f>
        <v>0.59375806141011012</v>
      </c>
      <c r="AC49" s="8">
        <v>0.95365769194585326</v>
      </c>
      <c r="AD49" s="21">
        <v>1.2575706632612547</v>
      </c>
      <c r="AE49" s="21">
        <v>0.65296979442024639</v>
      </c>
      <c r="AF49" s="21">
        <v>0.58900253021109394</v>
      </c>
      <c r="AG49" s="21">
        <v>0.58900253021109394</v>
      </c>
      <c r="AH49" s="21">
        <v>11.083130252803645</v>
      </c>
      <c r="AI49" s="50">
        <v>1.6308425132793338</v>
      </c>
      <c r="AJ49" s="60">
        <f t="shared" si="0"/>
        <v>-1.0370844518692237</v>
      </c>
      <c r="AK49">
        <f t="shared" si="1"/>
        <v>1.2540664020620234</v>
      </c>
    </row>
    <row r="50" spans="20:37" x14ac:dyDescent="0.3">
      <c r="T50" s="36">
        <v>0.80585474308386096</v>
      </c>
      <c r="U50" s="36">
        <v>0.42131142461235693</v>
      </c>
      <c r="V50" s="36">
        <v>0.99665250858440901</v>
      </c>
      <c r="Y50" s="61">
        <f>Y49+dt</f>
        <v>4.4000000000000004</v>
      </c>
      <c r="Z50" s="51">
        <f t="array" ref="Z50:AA50">MMULT(Z49:AA49,TRANSPOSE($C$16:$D$17))+TRANSPOSE($F$16:$F$17)+SQRT($H$16)*_xlfn.NORM.S.INV(T50:U50)</f>
        <v>0.7516287462356841</v>
      </c>
      <c r="AA50" s="51">
        <v>8.6489647326068813</v>
      </c>
      <c r="AB50" s="50">
        <f t="array" ref="AB50">MMULT($C$24:$D$24,TRANSPOSE(Z50:AA50))+SQRT($F$24)*_xlfn.NORM.S.INV($V50)</f>
        <v>3.4632758440931752</v>
      </c>
      <c r="AC50" s="8">
        <v>2.6360063550190276</v>
      </c>
      <c r="AD50" s="21">
        <v>2.6617080356502765</v>
      </c>
      <c r="AE50" s="21">
        <v>0.65297076495161299</v>
      </c>
      <c r="AF50" s="21">
        <v>0.58901811885792932</v>
      </c>
      <c r="AG50" s="21">
        <v>0.58901811885792932</v>
      </c>
      <c r="AH50" s="21">
        <v>11.083380637199765</v>
      </c>
      <c r="AI50" s="50">
        <v>1.0794147582719786</v>
      </c>
      <c r="AJ50" s="60">
        <f t="shared" si="0"/>
        <v>2.3838610858211968</v>
      </c>
      <c r="AK50">
        <f t="shared" si="1"/>
        <v>0.59375806141011012</v>
      </c>
    </row>
    <row r="51" spans="20:37" x14ac:dyDescent="0.3">
      <c r="T51" s="36">
        <v>0.57049637570042111</v>
      </c>
      <c r="U51" s="36">
        <v>0.40224033707445195</v>
      </c>
      <c r="V51" s="36">
        <v>0.55218000980392679</v>
      </c>
      <c r="Y51" s="61">
        <f>Y50+dt</f>
        <v>4.5</v>
      </c>
      <c r="Z51" s="51">
        <f t="array" ref="Z51:AA51">MMULT(Z50:AA50,TRANSPOSE($C$16:$D$17))+TRANSPOSE($F$16:$F$17)+SQRT($H$16)*_xlfn.NORM.S.INV(T51:U51)</f>
        <v>1.7991632587727779</v>
      </c>
      <c r="AA51" s="51">
        <v>8.5014122426806242</v>
      </c>
      <c r="AB51" s="50">
        <f t="array" ref="AB51">MMULT($C$24:$D$24,TRANSPOSE(Z51:AA51))+SQRT($F$24)*_xlfn.NORM.S.INV($V51)</f>
        <v>1.9303343295253896</v>
      </c>
      <c r="AC51" s="8">
        <v>2.2675914315536412</v>
      </c>
      <c r="AD51" s="21">
        <v>2.0892626084043169</v>
      </c>
      <c r="AE51" s="21">
        <v>0.65297155883228464</v>
      </c>
      <c r="AF51" s="21">
        <v>0.58903087014639488</v>
      </c>
      <c r="AG51" s="21">
        <v>0.58903087014639488</v>
      </c>
      <c r="AH51" s="21">
        <v>11.083585448027538</v>
      </c>
      <c r="AI51" s="50">
        <v>2.9021771585840552</v>
      </c>
      <c r="AJ51" s="60">
        <f t="shared" si="0"/>
        <v>-0.97184282905866559</v>
      </c>
      <c r="AK51">
        <f t="shared" si="1"/>
        <v>3.4632758440931752</v>
      </c>
    </row>
    <row r="52" spans="20:37" x14ac:dyDescent="0.3">
      <c r="T52" s="36">
        <v>4.2242747040783901E-2</v>
      </c>
      <c r="U52" s="36">
        <v>0.41932883230618778</v>
      </c>
      <c r="V52" s="36">
        <v>0.83671468395531701</v>
      </c>
      <c r="Y52" s="61">
        <f>Y51+dt</f>
        <v>4.5999999999999996</v>
      </c>
      <c r="Z52" s="51">
        <f t="array" ref="Z52:AA52">MMULT(Z51:AA51,TRANSPOSE($C$16:$D$17))+TRANSPOSE($F$16:$F$17)+SQRT($H$16)*_xlfn.NORM.S.INV(T52:U52)</f>
        <v>0.92907150112873382</v>
      </c>
      <c r="AA52" s="51">
        <v>8.3978014578415046</v>
      </c>
      <c r="AB52" s="50">
        <f t="array" ref="AB52">MMULT($C$24:$D$24,TRANSPOSE(Z52:AA52))+SQRT($F$24)*_xlfn.NORM.S.INV($V52)</f>
        <v>1.9101163365947924</v>
      </c>
      <c r="AC52" s="8">
        <v>2.1066733483632443</v>
      </c>
      <c r="AD52" s="21">
        <v>1.7556288171945114</v>
      </c>
      <c r="AE52" s="21">
        <v>0.65297220821253266</v>
      </c>
      <c r="AF52" s="21">
        <v>0.58904130047322378</v>
      </c>
      <c r="AG52" s="21">
        <v>0.58904130047322378</v>
      </c>
      <c r="AH52" s="21">
        <v>11.083752979636406</v>
      </c>
      <c r="AI52" s="50">
        <v>2.476517692394073</v>
      </c>
      <c r="AJ52" s="60">
        <f t="shared" si="0"/>
        <v>-0.56640135579928064</v>
      </c>
      <c r="AK52">
        <f t="shared" si="1"/>
        <v>1.9303343295253896</v>
      </c>
    </row>
    <row r="53" spans="20:37" x14ac:dyDescent="0.3">
      <c r="T53" s="36">
        <v>0.57954112900427934</v>
      </c>
      <c r="U53" s="36">
        <v>0.88818904489658956</v>
      </c>
      <c r="V53" s="36">
        <v>0.64852135939337974</v>
      </c>
      <c r="Y53" s="61">
        <f>Y52+dt</f>
        <v>4.6999999999999993</v>
      </c>
      <c r="Z53" s="51">
        <f t="array" ref="Z53:AA53">MMULT(Z52:AA52,TRANSPOSE($C$16:$D$17))+TRANSPOSE($F$16:$F$17)+SQRT($H$16)*_xlfn.NORM.S.INV(T53:U53)</f>
        <v>1.9745713633237072</v>
      </c>
      <c r="AA53" s="51">
        <v>9.714754953167791</v>
      </c>
      <c r="AB53" s="50">
        <f t="array" ref="AB53">MMULT($C$24:$D$24,TRANSPOSE(Z53:AA53))+SQRT($F$24)*_xlfn.NORM.S.INV($V53)</f>
        <v>2.3559028652827685</v>
      </c>
      <c r="AC53" s="8">
        <v>2.330338534671093</v>
      </c>
      <c r="AD53" s="21">
        <v>1.7990221363026968</v>
      </c>
      <c r="AE53" s="21">
        <v>0.65297273939220135</v>
      </c>
      <c r="AF53" s="21">
        <v>0.58904983226575225</v>
      </c>
      <c r="AG53" s="21">
        <v>0.58904983226575247</v>
      </c>
      <c r="AH53" s="21">
        <v>11.083890017042068</v>
      </c>
      <c r="AI53" s="50">
        <v>2.2822362300826953</v>
      </c>
      <c r="AJ53" s="60">
        <f t="shared" si="0"/>
        <v>7.3666635200073216E-2</v>
      </c>
      <c r="AK53">
        <f t="shared" si="1"/>
        <v>1.9101163365947924</v>
      </c>
    </row>
    <row r="54" spans="20:37" x14ac:dyDescent="0.3">
      <c r="T54" s="36">
        <v>0.6548268974420175</v>
      </c>
      <c r="U54" s="36">
        <v>0.77541666445217461</v>
      </c>
      <c r="V54" s="36">
        <v>0.73001567834104264</v>
      </c>
      <c r="Y54" s="61">
        <f>Y53+dt</f>
        <v>4.7999999999999989</v>
      </c>
      <c r="Z54" s="51">
        <f t="array" ref="Z54:AA54">MMULT(Z53:AA53,TRANSPOSE($C$16:$D$17))+TRANSPOSE($F$16:$F$17)+SQRT($H$16)*_xlfn.NORM.S.INV(T54:U54)</f>
        <v>3.3494321408524694</v>
      </c>
      <c r="AA54" s="51">
        <v>10.571559996153677</v>
      </c>
      <c r="AB54" s="50">
        <f t="array" ref="AB54">MMULT($C$24:$D$24,TRANSPOSE(Z54:AA54))+SQRT($F$24)*_xlfn.NORM.S.INV($V54)</f>
        <v>3.9622925499283097</v>
      </c>
      <c r="AC54" s="8">
        <v>3.4583916218551742</v>
      </c>
      <c r="AD54" s="21">
        <v>2.6543631400875403</v>
      </c>
      <c r="AE54" s="21">
        <v>0.65297317388502174</v>
      </c>
      <c r="AF54" s="21">
        <v>0.58905681107690455</v>
      </c>
      <c r="AG54" s="21">
        <v>0.58905681107690477</v>
      </c>
      <c r="AH54" s="21">
        <v>11.084002110505624</v>
      </c>
      <c r="AI54" s="50">
        <v>2.5102407483013627</v>
      </c>
      <c r="AJ54" s="60">
        <f t="shared" si="0"/>
        <v>1.452051801626947</v>
      </c>
      <c r="AK54">
        <f t="shared" si="1"/>
        <v>2.3559028652827685</v>
      </c>
    </row>
    <row r="55" spans="20:37" x14ac:dyDescent="0.3">
      <c r="T55" s="36">
        <v>0.92629723770096783</v>
      </c>
      <c r="U55" s="36">
        <v>0.41577428328104749</v>
      </c>
      <c r="V55" s="36">
        <v>0.35443412892983073</v>
      </c>
      <c r="Y55" s="61">
        <f>Y54+dt</f>
        <v>4.8999999999999986</v>
      </c>
      <c r="Z55" s="51">
        <f t="array" ref="Z55:AA55">MMULT(Z54:AA54,TRANSPOSE($C$16:$D$17))+TRANSPOSE($F$16:$F$17)+SQRT($H$16)*_xlfn.NORM.S.INV(T55:U55)</f>
        <v>5.8603448951857908</v>
      </c>
      <c r="AA55" s="51">
        <v>10.458844099216876</v>
      </c>
      <c r="AB55" s="50">
        <f t="array" ref="AB55">MMULT($C$24:$D$24,TRANSPOSE(Z55:AA55))+SQRT($F$24)*_xlfn.NORM.S.INV($V55)</f>
        <v>5.486968409466483</v>
      </c>
      <c r="AC55" s="8">
        <v>4.8751119935451763</v>
      </c>
      <c r="AD55" s="21">
        <v>3.6929631098269065</v>
      </c>
      <c r="AE55" s="21">
        <v>0.65297352928940211</v>
      </c>
      <c r="AF55" s="21">
        <v>0.58906251957181621</v>
      </c>
      <c r="AG55" s="21">
        <v>0.58906251957181643</v>
      </c>
      <c r="AH55" s="21">
        <v>11.084093800186347</v>
      </c>
      <c r="AI55" s="50">
        <v>3.7238279358639281</v>
      </c>
      <c r="AJ55" s="60">
        <f t="shared" si="0"/>
        <v>1.7631404736025549</v>
      </c>
      <c r="AK55">
        <f t="shared" si="1"/>
        <v>3.9622925499283097</v>
      </c>
    </row>
    <row r="56" spans="20:37" x14ac:dyDescent="0.3">
      <c r="T56" s="36">
        <v>0.28397841480348518</v>
      </c>
      <c r="U56" s="36">
        <v>0.69652408449927561</v>
      </c>
      <c r="V56" s="36">
        <v>0.8762107765014483</v>
      </c>
      <c r="Y56" s="61">
        <f>Y55+dt</f>
        <v>4.9999999999999982</v>
      </c>
      <c r="Z56" s="51">
        <f t="array" ref="Z56:AA56">MMULT(Z55:AA55,TRANSPOSE($C$16:$D$17))+TRANSPOSE($F$16:$F$17)+SQRT($H$16)*_xlfn.NORM.S.INV(T56:U56)</f>
        <v>6.3401661447277213</v>
      </c>
      <c r="AA56" s="51">
        <v>11.073273467182407</v>
      </c>
      <c r="AB56" s="50">
        <f t="array" ref="AB56">MMULT($C$24:$D$24,TRANSPOSE(Z56:AA56))+SQRT($F$24)*_xlfn.NORM.S.INV($V56)</f>
        <v>7.4964172855682065</v>
      </c>
      <c r="AC56" s="8">
        <v>6.7149112115540071</v>
      </c>
      <c r="AD56" s="21">
        <v>5.0195477098252654</v>
      </c>
      <c r="AE56" s="21">
        <v>0.65297382000085324</v>
      </c>
      <c r="AF56" s="21">
        <v>0.58906718897076882</v>
      </c>
      <c r="AG56" s="21">
        <v>0.58906718897076882</v>
      </c>
      <c r="AH56" s="21">
        <v>11.084168799937729</v>
      </c>
      <c r="AI56" s="50">
        <v>5.2444083045278669</v>
      </c>
      <c r="AJ56" s="60">
        <f t="shared" si="0"/>
        <v>2.2520089810403396</v>
      </c>
      <c r="AK56">
        <f t="shared" si="1"/>
        <v>5.486968409466483</v>
      </c>
    </row>
    <row r="57" spans="20:37" x14ac:dyDescent="0.3">
      <c r="T57" s="36">
        <v>0.16543638487046852</v>
      </c>
      <c r="U57" s="36">
        <v>0.43014816928999067</v>
      </c>
      <c r="V57" s="36">
        <v>0.48522383047409468</v>
      </c>
      <c r="Y57" s="61">
        <f>Y56+dt</f>
        <v>5.0999999999999979</v>
      </c>
      <c r="Z57" s="51">
        <f t="array" ref="Z57:AA57">MMULT(Z56:AA56,TRANSPOSE($C$16:$D$17))+TRANSPOSE($F$16:$F$17)+SQRT($H$16)*_xlfn.NORM.S.INV(T57:U57)</f>
        <v>6.480136076559055</v>
      </c>
      <c r="AA57" s="51">
        <v>10.997276517163504</v>
      </c>
      <c r="AB57" s="50">
        <f t="array" ref="AB57">MMULT($C$24:$D$24,TRANSPOSE(Z57:AA57))+SQRT($F$24)*_xlfn.NORM.S.INV($V57)</f>
        <v>6.4430892397119051</v>
      </c>
      <c r="AC57" s="8">
        <v>6.7116098429470732</v>
      </c>
      <c r="AD57" s="21">
        <v>4.5637382636448196</v>
      </c>
      <c r="AE57" s="21">
        <v>0.65297405779482554</v>
      </c>
      <c r="AF57" s="21">
        <v>0.5890710084106936</v>
      </c>
      <c r="AG57" s="21">
        <v>0.5890710084106936</v>
      </c>
      <c r="AH57" s="21">
        <v>11.084230147671699</v>
      </c>
      <c r="AI57" s="50">
        <v>7.2168659825365333</v>
      </c>
      <c r="AJ57" s="60">
        <f t="shared" si="0"/>
        <v>-0.77377674282462827</v>
      </c>
      <c r="AK57">
        <f t="shared" si="1"/>
        <v>7.4964172855682065</v>
      </c>
    </row>
    <row r="58" spans="20:37" x14ac:dyDescent="0.3">
      <c r="T58" s="36">
        <v>6.8900609540066715E-2</v>
      </c>
      <c r="U58" s="36">
        <v>0.82309280600708101</v>
      </c>
      <c r="V58" s="36">
        <v>0.17372036928739276</v>
      </c>
      <c r="Y58" s="61">
        <f>Y57+dt</f>
        <v>5.1999999999999975</v>
      </c>
      <c r="Z58" s="51">
        <f t="array" ref="Z58:AA58">MMULT(Z57:AA57,TRANSPOSE($C$16:$D$17))+TRANSPOSE($F$16:$F$17)+SQRT($H$16)*_xlfn.NORM.S.INV(T58:U58)</f>
        <v>6.1008346974728163</v>
      </c>
      <c r="AA58" s="51">
        <v>12.02449253483678</v>
      </c>
      <c r="AB58" s="50">
        <f t="array" ref="AB58">MMULT($C$24:$D$24,TRANSPOSE(Z58:AA58))+SQRT($F$24)*_xlfn.NORM.S.INV($V58)</f>
        <v>5.1612697018638567</v>
      </c>
      <c r="AC58" s="8">
        <v>5.8576511168303789</v>
      </c>
      <c r="AD58" s="21">
        <v>3.381634973887004</v>
      </c>
      <c r="AE58" s="21">
        <v>0.65297425230351247</v>
      </c>
      <c r="AF58" s="21">
        <v>0.58907413260361685</v>
      </c>
      <c r="AG58" s="21">
        <v>0.58907413260361663</v>
      </c>
      <c r="AH58" s="21">
        <v>11.084280328368376</v>
      </c>
      <c r="AI58" s="50">
        <v>7.1679836693115551</v>
      </c>
      <c r="AJ58" s="60">
        <f t="shared" si="0"/>
        <v>-2.0067139674476984</v>
      </c>
      <c r="AK58">
        <f t="shared" si="1"/>
        <v>6.4430892397119051</v>
      </c>
    </row>
    <row r="59" spans="20:37" x14ac:dyDescent="0.3">
      <c r="T59" s="36">
        <v>0.28640631270934425</v>
      </c>
      <c r="U59" s="36">
        <v>0.73606801376341968</v>
      </c>
      <c r="V59" s="36">
        <v>0.9239188296657419</v>
      </c>
      <c r="Y59" s="61">
        <f>Y58+dt</f>
        <v>5.2999999999999972</v>
      </c>
      <c r="Z59" s="51">
        <f t="array" ref="Z59:AA59">MMULT(Z58:AA58,TRANSPOSE($C$16:$D$17))+TRANSPOSE($F$16:$F$17)+SQRT($H$16)*_xlfn.NORM.S.INV(T59:U59)</f>
        <v>6.7443698976215813</v>
      </c>
      <c r="AA59" s="51">
        <v>12.755762575433547</v>
      </c>
      <c r="AB59" s="50">
        <f t="array" ref="AB59">MMULT($C$24:$D$24,TRANSPOSE(Z59:AA59))+SQRT($F$24)*_xlfn.NORM.S.INV($V59)</f>
        <v>8.1763051903733359</v>
      </c>
      <c r="AC59" s="8">
        <v>7.4890242824783542</v>
      </c>
      <c r="AD59" s="21">
        <v>4.548295803304617</v>
      </c>
      <c r="AE59" s="21">
        <v>0.65297441140590862</v>
      </c>
      <c r="AF59" s="21">
        <v>0.5890766881017182</v>
      </c>
      <c r="AG59" s="21">
        <v>0.5890766881017182</v>
      </c>
      <c r="AH59" s="21">
        <v>11.084321374705217</v>
      </c>
      <c r="AI59" s="50">
        <v>6.1958146142190795</v>
      </c>
      <c r="AJ59" s="60">
        <f t="shared" si="0"/>
        <v>1.9804905761542564</v>
      </c>
      <c r="AK59">
        <f t="shared" si="1"/>
        <v>5.1612697018638567</v>
      </c>
    </row>
    <row r="60" spans="20:37" x14ac:dyDescent="0.3">
      <c r="T60" s="36">
        <v>0.98498508009617036</v>
      </c>
      <c r="U60" s="36">
        <v>0.8438676785085476</v>
      </c>
      <c r="V60" s="36">
        <v>0.76069501660133854</v>
      </c>
      <c r="Y60" s="61">
        <f>Y59+dt</f>
        <v>5.3999999999999968</v>
      </c>
      <c r="Z60" s="51">
        <f t="array" ref="Z60:AA60">MMULT(Z59:AA59,TRANSPOSE($C$16:$D$17))+TRANSPOSE($F$16:$F$17)+SQRT($H$16)*_xlfn.NORM.S.INV(T60:U60)</f>
        <v>10.194642728677714</v>
      </c>
      <c r="AA60" s="51">
        <v>13.866244107688196</v>
      </c>
      <c r="AB60" s="50">
        <f t="array" ref="AB60">MMULT($C$24:$D$24,TRANSPOSE(Z60:AA60))+SQRT($F$24)*_xlfn.NORM.S.INV($V60)</f>
        <v>10.903182752053858</v>
      </c>
      <c r="AC60" s="8">
        <v>9.8762202875500638</v>
      </c>
      <c r="AD60" s="21">
        <v>6.291573650331225</v>
      </c>
      <c r="AE60" s="21">
        <v>0.65297454154688994</v>
      </c>
      <c r="AF60" s="21">
        <v>0.58907877842240719</v>
      </c>
      <c r="AG60" s="21">
        <v>0.58907877842240719</v>
      </c>
      <c r="AH60" s="21">
        <v>11.084354949375868</v>
      </c>
      <c r="AI60" s="50">
        <v>7.9438538628088162</v>
      </c>
      <c r="AJ60" s="60">
        <f t="shared" si="0"/>
        <v>2.9593288892450422</v>
      </c>
      <c r="AK60">
        <f t="shared" si="1"/>
        <v>8.1763051903733359</v>
      </c>
    </row>
    <row r="61" spans="20:37" x14ac:dyDescent="0.3">
      <c r="T61" s="36">
        <v>0.31262110939189258</v>
      </c>
      <c r="U61" s="36">
        <v>3.3094430361895522E-2</v>
      </c>
      <c r="V61" s="36">
        <v>0.75213278738940492</v>
      </c>
      <c r="Y61" s="61">
        <f>Y60+dt</f>
        <v>5.4999999999999964</v>
      </c>
      <c r="Z61" s="51">
        <f t="array" ref="Z61:AA61">MMULT(Z60:AA60,TRANSPOSE($C$16:$D$17))+TRANSPOSE($F$16:$F$17)+SQRT($H$16)*_xlfn.NORM.S.INV(T61:U61)</f>
        <v>11.097832793184734</v>
      </c>
      <c r="AA61" s="51">
        <v>12.129101602493527</v>
      </c>
      <c r="AB61" s="50">
        <f t="array" ref="AB61">MMULT($C$24:$D$24,TRANSPOSE(Z61:AA61))+SQRT($F$24)*_xlfn.NORM.S.INV($V61)</f>
        <v>11.779049425696501</v>
      </c>
      <c r="AC61" s="8">
        <v>11.337053030297136</v>
      </c>
      <c r="AD61" s="21">
        <v>7.0418688402953151</v>
      </c>
      <c r="AE61" s="21">
        <v>0.65297464799823079</v>
      </c>
      <c r="AF61" s="21">
        <v>0.58908048824077897</v>
      </c>
      <c r="AG61" s="21">
        <v>0.58908048824077897</v>
      </c>
      <c r="AH61" s="21">
        <v>11.084382412429271</v>
      </c>
      <c r="AI61" s="50">
        <v>10.505377652583187</v>
      </c>
      <c r="AJ61" s="60">
        <f t="shared" si="0"/>
        <v>1.273671773113314</v>
      </c>
      <c r="AK61">
        <f t="shared" si="1"/>
        <v>10.903182752053858</v>
      </c>
    </row>
    <row r="62" spans="20:37" x14ac:dyDescent="0.3">
      <c r="T62" s="36">
        <v>0.85335417047225215</v>
      </c>
      <c r="U62" s="36">
        <v>0.34312017204806899</v>
      </c>
      <c r="V62" s="36">
        <v>0.26899266323855042</v>
      </c>
      <c r="Y62" s="61">
        <f>Y61+dt</f>
        <v>5.5999999999999961</v>
      </c>
      <c r="Z62" s="51">
        <f t="array" ref="Z62:AA62">MMULT(Z61:AA61,TRANSPOSE($C$16:$D$17))+TRANSPOSE($F$16:$F$17)+SQRT($H$16)*_xlfn.NORM.S.INV(T62:U62)</f>
        <v>13.366670954100826</v>
      </c>
      <c r="AA62" s="51">
        <v>11.82513916889312</v>
      </c>
      <c r="AB62" s="50">
        <f t="array" ref="AB62">MMULT($C$24:$D$24,TRANSPOSE(Z62:AA62))+SQRT($F$24)*_xlfn.NORM.S.INV($V62)</f>
        <v>12.750808534691602</v>
      </c>
      <c r="AC62" s="8">
        <v>12.504570296224953</v>
      </c>
      <c r="AD62" s="21">
        <v>7.4598628620075278</v>
      </c>
      <c r="AE62" s="21">
        <v>0.65297473507212267</v>
      </c>
      <c r="AF62" s="21">
        <v>0.589081886819117</v>
      </c>
      <c r="AG62" s="21">
        <v>0.589081886819117</v>
      </c>
      <c r="AH62" s="21">
        <v>11.084404876354219</v>
      </c>
      <c r="AI62" s="50">
        <v>12.041239914326669</v>
      </c>
      <c r="AJ62" s="60">
        <f t="shared" si="0"/>
        <v>0.70956862036493362</v>
      </c>
      <c r="AK62">
        <f t="shared" si="1"/>
        <v>11.779049425696501</v>
      </c>
    </row>
    <row r="63" spans="20:37" x14ac:dyDescent="0.3">
      <c r="T63" s="36">
        <v>0.2838851389958128</v>
      </c>
      <c r="U63" s="36">
        <v>0.10409891865813303</v>
      </c>
      <c r="V63" s="36">
        <v>0.78208290253127555</v>
      </c>
      <c r="Y63" s="61">
        <f>Y62+dt</f>
        <v>5.6999999999999957</v>
      </c>
      <c r="Z63" s="51">
        <f t="array" ref="Z63:AA63">MMULT(Z62:AA62,TRANSPOSE($C$16:$D$17))+TRANSPOSE($F$16:$F$17)+SQRT($H$16)*_xlfn.NORM.S.INV(T63:U63)</f>
        <v>13.982846473078128</v>
      </c>
      <c r="AA63" s="51">
        <v>10.666602784549362</v>
      </c>
      <c r="AB63" s="50">
        <f t="array" ref="AB63">MMULT($C$24:$D$24,TRANSPOSE(Z63:AA63))+SQRT($F$24)*_xlfn.NORM.S.INV($V63)</f>
        <v>14.762093530389519</v>
      </c>
      <c r="AC63" s="8">
        <v>14.237552128231366</v>
      </c>
      <c r="AD63" s="21">
        <v>8.3502836284987474</v>
      </c>
      <c r="AE63" s="21">
        <v>0.65297480629582982</v>
      </c>
      <c r="AF63" s="21">
        <v>0.58908303081224922</v>
      </c>
      <c r="AG63" s="21">
        <v>0.58908303081224922</v>
      </c>
      <c r="AH63" s="21">
        <v>11.084423251138933</v>
      </c>
      <c r="AI63" s="50">
        <v>13.250556582425705</v>
      </c>
      <c r="AJ63" s="60">
        <f t="shared" si="0"/>
        <v>1.5115369479638137</v>
      </c>
      <c r="AK63">
        <f t="shared" si="1"/>
        <v>12.750808534691602</v>
      </c>
    </row>
    <row r="64" spans="20:37" x14ac:dyDescent="0.3">
      <c r="T64" s="36">
        <v>0.31447327181696116</v>
      </c>
      <c r="U64" s="36">
        <v>0.73967765291536758</v>
      </c>
      <c r="V64" s="36">
        <v>0.22239739335228592</v>
      </c>
      <c r="Y64" s="61">
        <f>Y63+dt</f>
        <v>5.7999999999999954</v>
      </c>
      <c r="Z64" s="51">
        <f t="array" ref="Z64:AA64">MMULT(Z63:AA63,TRANSPOSE($C$16:$D$17))+TRANSPOSE($F$16:$F$17)+SQRT($H$16)*_xlfn.NORM.S.INV(T64:U64)</f>
        <v>14.571296621906434</v>
      </c>
      <c r="AA64" s="51">
        <v>11.408954729112814</v>
      </c>
      <c r="AB64" s="50">
        <f t="array" ref="AB64">MMULT($C$24:$D$24,TRANSPOSE(Z64:AA64))+SQRT($F$24)*_xlfn.NORM.S.INV($V64)</f>
        <v>13.807175030800449</v>
      </c>
      <c r="AC64" s="8">
        <v>14.246302532047787</v>
      </c>
      <c r="AD64" s="21">
        <v>7.6048535606469034</v>
      </c>
      <c r="AE64" s="21">
        <v>0.65297486455456233</v>
      </c>
      <c r="AF64" s="21">
        <v>0.58908396656233397</v>
      </c>
      <c r="AG64" s="21">
        <v>0.58908396656233419</v>
      </c>
      <c r="AH64" s="21">
        <v>11.084438281129822</v>
      </c>
      <c r="AI64" s="50">
        <v>15.07258049108124</v>
      </c>
      <c r="AJ64" s="60">
        <f t="shared" si="0"/>
        <v>-1.2654054602807907</v>
      </c>
      <c r="AK64">
        <f t="shared" si="1"/>
        <v>14.762093530389519</v>
      </c>
    </row>
    <row r="65" spans="20:37" x14ac:dyDescent="0.3">
      <c r="T65" s="36">
        <v>0.40659633145212626</v>
      </c>
      <c r="U65" s="36">
        <v>0.9224478628395264</v>
      </c>
      <c r="V65" s="36">
        <v>0.52002778316926812</v>
      </c>
      <c r="Y65" s="61">
        <f>Y64+dt</f>
        <v>5.899999999999995</v>
      </c>
      <c r="Z65" s="51">
        <f t="array" ref="Z65:AA65">MMULT(Z64:AA64,TRANSPOSE($C$16:$D$17))+TRANSPOSE($F$16:$F$17)+SQRT($H$16)*_xlfn.NORM.S.INV(T65:U65)</f>
        <v>15.480882784485987</v>
      </c>
      <c r="AA65" s="51">
        <v>12.930686014255031</v>
      </c>
      <c r="AB65" s="50">
        <f t="array" ref="AB65">MMULT($C$24:$D$24,TRANSPOSE(Z65:AA65))+SQRT($F$24)*_xlfn.NORM.S.INV($V65)</f>
        <v>15.531106097793668</v>
      </c>
      <c r="AC65" s="8">
        <v>15.349154525048288</v>
      </c>
      <c r="AD65" s="21">
        <v>7.9137214126670736</v>
      </c>
      <c r="AE65" s="21">
        <v>0.65297491220834281</v>
      </c>
      <c r="AF65" s="21">
        <v>0.58908473197597977</v>
      </c>
      <c r="AG65" s="21">
        <v>0.58908473197597999</v>
      </c>
      <c r="AH65" s="21">
        <v>11.084450575181737</v>
      </c>
      <c r="AI65" s="50">
        <v>15.006787888112477</v>
      </c>
      <c r="AJ65" s="60">
        <f t="shared" si="0"/>
        <v>0.52431820968119069</v>
      </c>
      <c r="AK65">
        <f t="shared" si="1"/>
        <v>13.807175030800449</v>
      </c>
    </row>
    <row r="66" spans="20:37" ht="17.25" thickBot="1" x14ac:dyDescent="0.35">
      <c r="T66" s="36">
        <v>0.72224858505138811</v>
      </c>
      <c r="U66" s="36">
        <v>0.19397194517010874</v>
      </c>
      <c r="V66" s="36">
        <v>0.8033712718967434</v>
      </c>
      <c r="Y66" s="62">
        <f>Y65+dt</f>
        <v>5.9999999999999947</v>
      </c>
      <c r="Z66" s="54">
        <f t="array" ref="Z66:AA66">MMULT(Z65:AA65,TRANSPOSE($C$16:$D$17))+TRANSPOSE($F$16:$F$17)+SQRT($H$16)*_xlfn.NORM.S.INV(T66:U66)</f>
        <v>17.368485805309057</v>
      </c>
      <c r="AA66" s="54">
        <v>12.167333883998205</v>
      </c>
      <c r="AB66" s="55">
        <f t="array" ref="AB66">MMULT($C$24:$D$24,TRANSPOSE(Z66:AA66))+SQRT($F$24)*_xlfn.NORM.S.INV($V66)</f>
        <v>18.22221066563154</v>
      </c>
      <c r="AC66" s="56">
        <v>17.499814174156725</v>
      </c>
      <c r="AD66" s="48">
        <v>9.1400109767716291</v>
      </c>
      <c r="AE66" s="48">
        <v>0.65297495118760152</v>
      </c>
      <c r="AF66" s="48">
        <v>0.58908535805970907</v>
      </c>
      <c r="AG66" s="48">
        <v>0.58908535805970907</v>
      </c>
      <c r="AH66" s="48">
        <v>11.084460631320551</v>
      </c>
      <c r="AI66" s="55">
        <v>16.140526666314994</v>
      </c>
      <c r="AJ66" s="63">
        <f t="shared" si="0"/>
        <v>2.0816839993165459</v>
      </c>
      <c r="AK66">
        <f t="shared" si="1"/>
        <v>15.531106097793668</v>
      </c>
    </row>
  </sheetData>
  <mergeCells count="4">
    <mergeCell ref="B5:P5"/>
    <mergeCell ref="B13:P13"/>
    <mergeCell ref="B21:P21"/>
    <mergeCell ref="B29:P2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4" sqref="A4:H600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</vt:i4>
      </vt:variant>
    </vt:vector>
  </HeadingPairs>
  <TitlesOfParts>
    <vt:vector size="3" baseType="lpstr">
      <vt:lpstr>Kalman Filter</vt:lpstr>
      <vt:lpstr>Sheet2</vt:lpstr>
      <vt:lpstr>dt</vt:lpstr>
    </vt:vector>
  </TitlesOfParts>
  <Company>XP R2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2018-06-06T05:22:02Z</dcterms:created>
  <dcterms:modified xsi:type="dcterms:W3CDTF">2018-06-06T07:25:58Z</dcterms:modified>
</cp:coreProperties>
</file>